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SO-E Real Data" sheetId="1" state="visible" r:id="rId1"/>
    <sheet name="Balancing Data (API)" sheetId="2" state="visible" r:id="rId2"/>
    <sheet name="BESS Revenue Analysis" sheetId="3" state="visible" r:id="rId3"/>
    <sheet name="Pipeline &amp; Saturation" sheetId="4" state="visible" r:id="rId4"/>
    <sheet name="Installed Capacity" sheetId="5" state="visible" r:id="rId5"/>
    <sheet name="Day-Ahead Prices" sheetId="6" state="visible" r:id="rId6"/>
    <sheet name="Electricity Load" sheetId="7" state="visible" r:id="rId7"/>
    <sheet name="Balancing &amp; Ancillary" sheetId="8" state="visible" r:id="rId8"/>
    <sheet name="BESS Saturation Analysis" sheetId="9" state="visible" r:id="rId9"/>
    <sheet name="Market Overview" sheetId="10" state="visible" r:id="rId10"/>
    <sheet name="Data Retrieval Guid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00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name val="Calibri"/>
      <b val="1"/>
      <sz val="10"/>
    </font>
    <font>
      <name val="Calibri"/>
      <b val="1"/>
      <i val="1"/>
      <sz val="10"/>
    </font>
    <font>
      <name val="Calibri"/>
      <b val="1"/>
      <sz val="11"/>
    </font>
    <font>
      <name val="Calibri"/>
      <b val="1"/>
      <color rgb="00C00000"/>
      <sz val="11"/>
    </font>
    <font>
      <name val="Calibri"/>
      <b val="1"/>
      <color rgb="001F4E79"/>
      <sz val="11"/>
    </font>
    <font>
      <name val="Calibri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FCE4EC"/>
        <bgColor rgb="00FCE4E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4" fontId="4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4" fontId="4" fillId="3" borderId="1" applyAlignment="1" pivotButton="0" quotePrefix="0" xfId="0">
      <alignment horizontal="center"/>
    </xf>
    <xf numFmtId="0" fontId="8" fillId="0" borderId="0" pivotButton="0" quotePrefix="0" xfId="0"/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" fontId="4" fillId="3" borderId="1" applyAlignment="1" pivotButton="0" quotePrefix="0" xfId="0">
      <alignment horizontal="center"/>
    </xf>
    <xf numFmtId="0" fontId="4" fillId="0" borderId="0" pivotButton="0" quotePrefix="0" xfId="0"/>
    <xf numFmtId="0" fontId="4" fillId="0" borderId="1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left"/>
    </xf>
    <xf numFmtId="0" fontId="9" fillId="0" borderId="0" pivotButton="0" quotePrefix="0" xfId="0"/>
    <xf numFmtId="0" fontId="10" fillId="0" borderId="0" pivotButton="0" quotePrefix="0" xfId="0"/>
    <xf numFmtId="0" fontId="4" fillId="4" borderId="1" applyAlignment="1" pivotButton="0" quotePrefix="0" xfId="0">
      <alignment horizontal="center"/>
    </xf>
    <xf numFmtId="4" fontId="4" fillId="4" borderId="1" applyAlignment="1" pivotButton="0" quotePrefix="0" xfId="0">
      <alignment horizontal="center"/>
    </xf>
    <xf numFmtId="3" fontId="4" fillId="4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0" fontId="11" fillId="5" borderId="1" applyAlignment="1" pivotButton="0" quotePrefix="0" xfId="0">
      <alignment horizontal="left"/>
    </xf>
    <xf numFmtId="3" fontId="11" fillId="5" borderId="1" applyAlignment="1" pivotButton="0" quotePrefix="0" xfId="0">
      <alignment horizontal="center"/>
    </xf>
    <xf numFmtId="164" fontId="11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left" wrapText="1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166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Multi-Market Combined Revenue Projection (EUR/MW/year)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'BESS Revenue Analysis'!B23</f>
            </strRef>
          </tx>
          <spPr>
            <a:ln>
              <a:prstDash val="solid"/>
            </a:ln>
          </spPr>
          <cat>
            <numRef>
              <f>'BESS Revenue Analysis'!$A$24:$A$29</f>
            </numRef>
          </cat>
          <val>
            <numRef>
              <f>'BESS Revenue Analysis'!$B$24:$B$29</f>
            </numRef>
          </val>
        </ser>
        <ser>
          <idx val="1"/>
          <order val="1"/>
          <tx>
            <strRef>
              <f>'BESS Revenue Analysis'!C23</f>
            </strRef>
          </tx>
          <spPr>
            <a:ln>
              <a:prstDash val="solid"/>
            </a:ln>
          </spPr>
          <cat>
            <numRef>
              <f>'BESS Revenue Analysis'!$A$24:$A$29</f>
            </numRef>
          </cat>
          <val>
            <numRef>
              <f>'BESS Revenue Analysis'!$C$24:$C$29</f>
            </numRef>
          </val>
        </ser>
        <ser>
          <idx val="2"/>
          <order val="2"/>
          <tx>
            <strRef>
              <f>'BESS Revenue Analysis'!D23</f>
            </strRef>
          </tx>
          <spPr>
            <a:ln>
              <a:prstDash val="solid"/>
            </a:ln>
          </spPr>
          <cat>
            <numRef>
              <f>'BESS Revenue Analysis'!$A$24:$A$29</f>
            </numRef>
          </cat>
          <val>
            <numRef>
              <f>'BESS Revenue Analysis'!$D$24:$D$29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EUR/MW/year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Market Segment 2025 (EUR/MW/year)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'BESS Revenue Analysis'!B49</f>
            </strRef>
          </tx>
          <spPr>
            <a:ln>
              <a:prstDash val="solid"/>
            </a:ln>
          </spPr>
          <cat>
            <numRef>
              <f>'BESS Revenue Analysis'!$A$50:$A$52</f>
            </numRef>
          </cat>
          <val>
            <numRef>
              <f>'BESS Revenue Analysis'!$B$50:$B$52</f>
            </numRef>
          </val>
        </ser>
        <ser>
          <idx val="1"/>
          <order val="1"/>
          <tx>
            <strRef>
              <f>'BESS Revenue Analysis'!C49</f>
            </strRef>
          </tx>
          <spPr>
            <a:ln>
              <a:prstDash val="solid"/>
            </a:ln>
          </spPr>
          <cat>
            <numRef>
              <f>'BESS Revenue Analysis'!$A$50:$A$52</f>
            </numRef>
          </cat>
          <val>
            <numRef>
              <f>'BESS Revenue Analysis'!$C$50:$C$52</f>
            </numRef>
          </val>
        </ser>
        <ser>
          <idx val="2"/>
          <order val="2"/>
          <tx>
            <strRef>
              <f>'BESS Revenue Analysis'!D49</f>
            </strRef>
          </tx>
          <spPr>
            <a:ln>
              <a:prstDash val="solid"/>
            </a:ln>
          </spPr>
          <cat>
            <numRef>
              <f>'BESS Revenue Analysis'!$A$50:$A$52</f>
            </numRef>
          </cat>
          <val>
            <numRef>
              <f>'BESS Revenue Analysis'!$D$50:$D$52</f>
            </numRef>
          </val>
        </ser>
        <ser>
          <idx val="3"/>
          <order val="3"/>
          <tx>
            <strRef>
              <f>'BESS Revenue Analysis'!E49</f>
            </strRef>
          </tx>
          <spPr>
            <a:ln>
              <a:prstDash val="solid"/>
            </a:ln>
          </spPr>
          <cat>
            <numRef>
              <f>'BESS Revenue Analysis'!$A$50:$A$52</f>
            </numRef>
          </cat>
          <val>
            <numRef>
              <f>'BESS Revenue Analysis'!$E$50:$E$52</f>
            </numRef>
          </val>
        </ser>
        <ser>
          <idx val="4"/>
          <order val="4"/>
          <tx>
            <strRef>
              <f>'BESS Revenue Analysis'!F49</f>
            </strRef>
          </tx>
          <spPr>
            <a:ln>
              <a:prstDash val="solid"/>
            </a:ln>
          </spPr>
          <cat>
            <numRef>
              <f>'BESS Revenue Analysis'!$A$50:$A$52</f>
            </numRef>
          </cat>
          <val>
            <numRef>
              <f>'BESS Revenue Analysis'!$F$50:$F$52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EUR/MW/year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BESS Build-Out Scenarios vs aFRR Requirement</a:t>
            </a:r>
          </a:p>
        </rich>
      </tx>
    </title>
    <plotArea>
      <lineChart>
        <grouping val="standard"/>
        <ser>
          <idx val="0"/>
          <order val="0"/>
          <tx>
            <strRef>
              <f>'Pipeline &amp; Saturation'!B35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 &amp; Saturation'!$A$36:$A$41</f>
            </numRef>
          </cat>
          <val>
            <numRef>
              <f>'Pipeline &amp; Saturation'!$B$36:$B$41</f>
            </numRef>
          </val>
        </ser>
        <ser>
          <idx val="1"/>
          <order val="1"/>
          <tx>
            <strRef>
              <f>'Pipeline &amp; Saturation'!C35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 &amp; Saturation'!$A$36:$A$41</f>
            </numRef>
          </cat>
          <val>
            <numRef>
              <f>'Pipeline &amp; Saturation'!$C$36:$C$41</f>
            </numRef>
          </val>
        </ser>
        <ser>
          <idx val="2"/>
          <order val="2"/>
          <tx>
            <strRef>
              <f>'Pipeline &amp; Saturation'!D35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 &amp; Saturation'!$A$36:$A$41</f>
            </numRef>
          </cat>
          <val>
            <numRef>
              <f>'Pipeline &amp; Saturation'!$D$36:$D$41</f>
            </numRef>
          </val>
        </ser>
        <ser>
          <idx val="3"/>
          <order val="3"/>
          <tx>
            <strRef>
              <f>'Pipeline &amp; Saturation'!H35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'Pipeline &amp; Saturation'!$A$36:$A$41</f>
            </numRef>
          </cat>
          <val>
            <numRef>
              <f>'Pipeline &amp; Saturation'!$H$36:$H$41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Installed 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Lithuania Cumulative Installed Capacity (MW)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'Installed Capacity'!B4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'Installed Capacity'!$A$5:$A$15</f>
            </numRef>
          </cat>
          <val>
            <numRef>
              <f>'Installed Capacity'!$B$5:$B$15</f>
            </numRef>
          </val>
        </ser>
        <ser>
          <idx val="1"/>
          <order val="1"/>
          <tx>
            <strRef>
              <f>'Installed Capacity'!D4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'Installed Capacity'!$A$5:$A$15</f>
            </numRef>
          </cat>
          <val>
            <numRef>
              <f>'Installed Capacity'!$D$5:$D$15</f>
            </numRef>
          </val>
        </ser>
        <ser>
          <idx val="2"/>
          <order val="2"/>
          <tx>
            <strRef>
              <f>'Installed Capacity'!F4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'Installed Capacity'!$A$5:$A$15</f>
            </numRef>
          </cat>
          <val>
            <numRef>
              <f>'Installed Capacity'!$F$5:$F$15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Lithuania Day-Ahead Annual Average (EUR/MWh)</a:t>
            </a:r>
          </a:p>
        </rich>
      </tx>
    </title>
    <plotArea>
      <lineChart>
        <grouping val="standard"/>
        <ser>
          <idx val="0"/>
          <order val="0"/>
          <tx>
            <strRef>
              <f>'Day-Ahead Prices'!N4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'Day-Ahead Prices'!$A$5:$A$9</f>
            </numRef>
          </cat>
          <val>
            <numRef>
              <f>'Day-Ahead Prices'!$N$5:$N$9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EUR/MWh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BESS Market Saturation vs Revenue (Lithuania)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'BESS Saturation Analysis'!$B$12:$H$12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EUR/kW/yr or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30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53</row>
      <rowOff>0</rowOff>
    </from>
    <ext cx="7920000" cy="46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Lithuania — ENTSO-E Real Market Data (API Retrieved)</t>
        </is>
      </c>
    </row>
    <row r="2">
      <c r="A2" s="2" t="inlineStr">
        <is>
          <t>Retrieved: 2026-02-12 11:47 | Source: ENTSO-E Transparency Platform API</t>
        </is>
      </c>
    </row>
    <row r="4">
      <c r="A4" s="6" t="inlineStr">
        <is>
          <t>A. Day-Ahead Price Summary (EUR/MWh)</t>
        </is>
      </c>
    </row>
    <row r="5">
      <c r="A5" s="3" t="inlineStr">
        <is>
          <t>Year</t>
        </is>
      </c>
      <c r="B5" s="3" t="inlineStr">
        <is>
          <t>Avg Price</t>
        </is>
      </c>
      <c r="C5" s="3" t="inlineStr">
        <is>
          <t>Min Price</t>
        </is>
      </c>
      <c r="D5" s="3" t="inlineStr">
        <is>
          <t>Max Price</t>
        </is>
      </c>
      <c r="E5" s="3" t="inlineStr">
        <is>
          <t>Std Dev</t>
        </is>
      </c>
      <c r="F5" s="3" t="inlineStr">
        <is>
          <t>Neg Hours</t>
        </is>
      </c>
      <c r="G5" s="3" t="inlineStr">
        <is>
          <t>Hours Total</t>
        </is>
      </c>
    </row>
    <row r="6">
      <c r="A6" s="24" t="n">
        <v>2020</v>
      </c>
      <c r="B6" s="25" t="n">
        <v>24.51</v>
      </c>
      <c r="C6" s="25" t="n">
        <v>24.07</v>
      </c>
      <c r="D6" s="25" t="n">
        <v>24.95</v>
      </c>
      <c r="E6" s="25" t="n">
        <v>0.62</v>
      </c>
      <c r="F6" s="24" t="n">
        <v>0</v>
      </c>
      <c r="G6" s="24" t="n">
        <v>2</v>
      </c>
    </row>
    <row r="7">
      <c r="A7" s="24" t="n">
        <v>2021</v>
      </c>
      <c r="B7" s="25" t="n">
        <v>90.45999999999999</v>
      </c>
      <c r="C7" s="25" t="n">
        <v>-1.41</v>
      </c>
      <c r="D7" s="25" t="n">
        <v>1000.07</v>
      </c>
      <c r="E7" s="25" t="n">
        <v>70.25</v>
      </c>
      <c r="F7" s="24" t="n">
        <v>5</v>
      </c>
      <c r="G7" s="24" t="n">
        <v>8760</v>
      </c>
    </row>
    <row r="8">
      <c r="A8" s="24" t="n">
        <v>2022</v>
      </c>
      <c r="B8" s="25" t="n">
        <v>230.23</v>
      </c>
      <c r="C8" s="25" t="n">
        <v>-0.04</v>
      </c>
      <c r="D8" s="25" t="n">
        <v>4000</v>
      </c>
      <c r="E8" s="25" t="n">
        <v>154.62</v>
      </c>
      <c r="F8" s="24" t="n">
        <v>2</v>
      </c>
      <c r="G8" s="24" t="n">
        <v>8760</v>
      </c>
    </row>
    <row r="9">
      <c r="A9" s="24" t="n">
        <v>2023</v>
      </c>
      <c r="B9" s="25" t="n">
        <v>94.45</v>
      </c>
      <c r="C9" s="25" t="n">
        <v>-56.55</v>
      </c>
      <c r="D9" s="25" t="n">
        <v>777.1799999999999</v>
      </c>
      <c r="E9" s="25" t="n">
        <v>54.86</v>
      </c>
      <c r="F9" s="24" t="n">
        <v>100</v>
      </c>
      <c r="G9" s="24" t="n">
        <v>8760</v>
      </c>
    </row>
    <row r="10">
      <c r="A10" s="24" t="n">
        <v>2024</v>
      </c>
      <c r="B10" s="25" t="n">
        <v>87.33</v>
      </c>
      <c r="C10" s="25" t="n">
        <v>-19.96</v>
      </c>
      <c r="D10" s="25" t="n">
        <v>1478.91</v>
      </c>
      <c r="E10" s="25" t="n">
        <v>71.8</v>
      </c>
      <c r="F10" s="24" t="n">
        <v>186</v>
      </c>
      <c r="G10" s="24" t="n">
        <v>8784</v>
      </c>
    </row>
    <row r="11">
      <c r="A11" s="24" t="n">
        <v>2025</v>
      </c>
      <c r="B11" s="25" t="n">
        <v>91.58</v>
      </c>
      <c r="C11" s="25" t="n">
        <v>-23.58</v>
      </c>
      <c r="D11" s="25" t="n">
        <v>1173.65</v>
      </c>
      <c r="E11" s="25" t="n">
        <v>80.23999999999999</v>
      </c>
      <c r="F11" s="24" t="n">
        <v>202</v>
      </c>
      <c r="G11" s="24" t="n">
        <v>15390</v>
      </c>
    </row>
    <row r="12">
      <c r="A12" s="24" t="n">
        <v>2026</v>
      </c>
      <c r="B12" s="25" t="n">
        <v>166.83</v>
      </c>
      <c r="C12" s="25" t="n">
        <v>7.16</v>
      </c>
      <c r="D12" s="25" t="n">
        <v>655.48</v>
      </c>
      <c r="E12" s="25" t="n">
        <v>93.34</v>
      </c>
      <c r="F12" s="24" t="n">
        <v>0</v>
      </c>
      <c r="G12" s="24" t="n">
        <v>4025</v>
      </c>
    </row>
    <row r="14">
      <c r="A14" s="6" t="inlineStr">
        <is>
          <t>B. Daily DA Price Spread — BESS Arbitrage Potential (EUR/MWh)</t>
        </is>
      </c>
    </row>
    <row r="15">
      <c r="A15" s="3" t="inlineStr">
        <is>
          <t>Year</t>
        </is>
      </c>
      <c r="B15" s="3" t="inlineStr">
        <is>
          <t>Avg Spread</t>
        </is>
      </c>
      <c r="C15" s="3" t="inlineStr">
        <is>
          <t>Median Spread</t>
        </is>
      </c>
      <c r="D15" s="3" t="inlineStr">
        <is>
          <t>P90 Spread</t>
        </is>
      </c>
      <c r="E15" s="3" t="inlineStr">
        <is>
          <t>P10 Spread</t>
        </is>
      </c>
    </row>
    <row r="16">
      <c r="A16" s="24" t="n">
        <v>2020</v>
      </c>
      <c r="B16" s="25" t="n">
        <v>0.88</v>
      </c>
      <c r="C16" s="25" t="n">
        <v>0.88</v>
      </c>
      <c r="D16" s="25" t="n">
        <v>0.88</v>
      </c>
      <c r="E16" s="25" t="n">
        <v>0.88</v>
      </c>
    </row>
    <row r="17">
      <c r="A17" s="24" t="n">
        <v>2021</v>
      </c>
      <c r="B17" s="25" t="n">
        <v>92.17</v>
      </c>
      <c r="C17" s="25" t="n">
        <v>62.75</v>
      </c>
      <c r="D17" s="25" t="n">
        <v>187.75</v>
      </c>
      <c r="E17" s="25" t="n">
        <v>33.69</v>
      </c>
    </row>
    <row r="18">
      <c r="A18" s="24" t="n">
        <v>2022</v>
      </c>
      <c r="B18" s="25" t="n">
        <v>245.41</v>
      </c>
      <c r="C18" s="25" t="n">
        <v>190.54</v>
      </c>
      <c r="D18" s="25" t="n">
        <v>420.76</v>
      </c>
      <c r="E18" s="25" t="n">
        <v>105.3</v>
      </c>
    </row>
    <row r="19">
      <c r="A19" s="24" t="n">
        <v>2023</v>
      </c>
      <c r="B19" s="25" t="n">
        <v>122.59</v>
      </c>
      <c r="C19" s="25" t="n">
        <v>113.87</v>
      </c>
      <c r="D19" s="25" t="n">
        <v>179.11</v>
      </c>
      <c r="E19" s="25" t="n">
        <v>64.38</v>
      </c>
    </row>
    <row r="20">
      <c r="A20" s="24" t="n">
        <v>2024</v>
      </c>
      <c r="B20" s="25" t="n">
        <v>151.78</v>
      </c>
      <c r="C20" s="25" t="n">
        <v>126.56</v>
      </c>
      <c r="D20" s="25" t="n">
        <v>269.5</v>
      </c>
      <c r="E20" s="25" t="n">
        <v>55.08</v>
      </c>
    </row>
    <row r="21">
      <c r="A21" s="24" t="n">
        <v>2025</v>
      </c>
      <c r="B21" s="25" t="n">
        <v>177.05</v>
      </c>
      <c r="C21" s="25" t="n">
        <v>149.4</v>
      </c>
      <c r="D21" s="25" t="n">
        <v>288.31</v>
      </c>
      <c r="E21" s="25" t="n">
        <v>76.3</v>
      </c>
    </row>
    <row r="22">
      <c r="A22" s="24" t="n">
        <v>2026</v>
      </c>
      <c r="B22" s="25" t="n">
        <v>212.66</v>
      </c>
      <c r="C22" s="25" t="n">
        <v>183.09</v>
      </c>
      <c r="D22" s="25" t="n">
        <v>376.38</v>
      </c>
      <c r="E22" s="25" t="n">
        <v>98.06</v>
      </c>
    </row>
    <row r="24">
      <c r="A24" s="6" t="inlineStr">
        <is>
          <t>C. Imbalance Price Summary (EUR/MWh) — 2021-Sep 2024</t>
        </is>
      </c>
    </row>
    <row r="25">
      <c r="A25" s="3" t="inlineStr">
        <is>
          <t>Year</t>
        </is>
      </c>
      <c r="B25" s="3" t="inlineStr">
        <is>
          <t>Avg Long</t>
        </is>
      </c>
      <c r="C25" s="3" t="inlineStr">
        <is>
          <t>Avg Short</t>
        </is>
      </c>
      <c r="D25" s="3" t="inlineStr">
        <is>
          <t>Min Long</t>
        </is>
      </c>
      <c r="E25" s="3" t="inlineStr">
        <is>
          <t>Max Short</t>
        </is>
      </c>
      <c r="F25" s="3" t="inlineStr">
        <is>
          <t>Avg Spread</t>
        </is>
      </c>
    </row>
    <row r="26">
      <c r="A26" s="24" t="n">
        <v>2020</v>
      </c>
      <c r="B26" s="25" t="n">
        <v>105.42</v>
      </c>
      <c r="C26" s="25" t="n">
        <v>105.42</v>
      </c>
      <c r="D26" s="25" t="n">
        <v>104.92</v>
      </c>
      <c r="E26" s="25" t="n">
        <v>105.92</v>
      </c>
      <c r="F26" s="25" t="n">
        <v>0</v>
      </c>
    </row>
    <row r="27">
      <c r="A27" s="24" t="n">
        <v>2021</v>
      </c>
      <c r="B27" s="25" t="n">
        <v>92.73999999999999</v>
      </c>
      <c r="C27" s="25" t="n">
        <v>92.73999999999999</v>
      </c>
      <c r="D27" s="25" t="n">
        <v>-339.92</v>
      </c>
      <c r="E27" s="25" t="n">
        <v>1785.32</v>
      </c>
      <c r="F27" s="25" t="n">
        <v>0</v>
      </c>
    </row>
    <row r="28">
      <c r="A28" s="24" t="n">
        <v>2022</v>
      </c>
      <c r="B28" s="25" t="n">
        <v>231.88</v>
      </c>
      <c r="C28" s="25" t="n">
        <v>231.88</v>
      </c>
      <c r="D28" s="25" t="n">
        <v>-498.75</v>
      </c>
      <c r="E28" s="25" t="n">
        <v>1582.82</v>
      </c>
      <c r="F28" s="25" t="n">
        <v>0</v>
      </c>
    </row>
    <row r="29">
      <c r="A29" s="24" t="n">
        <v>2023</v>
      </c>
      <c r="B29" s="25" t="n">
        <v>103.86</v>
      </c>
      <c r="C29" s="25" t="n">
        <v>103.86</v>
      </c>
      <c r="D29" s="25" t="n">
        <v>-327.08</v>
      </c>
      <c r="E29" s="25" t="n">
        <v>1634.37</v>
      </c>
      <c r="F29" s="25" t="n">
        <v>0</v>
      </c>
    </row>
    <row r="30">
      <c r="A30" s="24" t="n">
        <v>2024</v>
      </c>
      <c r="B30" s="25" t="n">
        <v>85.11</v>
      </c>
      <c r="C30" s="25" t="n">
        <v>85.11</v>
      </c>
      <c r="D30" s="25" t="n">
        <v>-289.24</v>
      </c>
      <c r="E30" s="25" t="n">
        <v>3239.53</v>
      </c>
      <c r="F30" s="25" t="n">
        <v>0</v>
      </c>
    </row>
    <row r="32">
      <c r="A32" s="6" t="inlineStr">
        <is>
          <t>D. Electricity Load Summary</t>
        </is>
      </c>
    </row>
    <row r="33">
      <c r="A33" s="3" t="inlineStr">
        <is>
          <t>Year</t>
        </is>
      </c>
      <c r="B33" s="3" t="inlineStr">
        <is>
          <t>Avg Load (MW)</t>
        </is>
      </c>
      <c r="C33" s="3" t="inlineStr">
        <is>
          <t>Min Load (MW)</t>
        </is>
      </c>
      <c r="D33" s="3" t="inlineStr">
        <is>
          <t>Max Load (MW)</t>
        </is>
      </c>
      <c r="E33" s="3" t="inlineStr">
        <is>
          <t>Std (MW)</t>
        </is>
      </c>
      <c r="F33" s="3" t="inlineStr">
        <is>
          <t>Est. TWh</t>
        </is>
      </c>
    </row>
    <row r="34">
      <c r="A34" s="24" t="n">
        <v>2020</v>
      </c>
      <c r="B34" s="26" t="n">
        <v>1166</v>
      </c>
      <c r="C34" s="26" t="n">
        <v>1141</v>
      </c>
      <c r="D34" s="26" t="n">
        <v>1191</v>
      </c>
      <c r="E34" s="26" t="n">
        <v>35</v>
      </c>
      <c r="F34" s="25" t="n">
        <v>0</v>
      </c>
    </row>
    <row r="35">
      <c r="A35" s="24" t="n">
        <v>2021</v>
      </c>
      <c r="B35" s="26" t="n">
        <v>1413</v>
      </c>
      <c r="C35" s="26" t="n">
        <v>894</v>
      </c>
      <c r="D35" s="26" t="n">
        <v>2220</v>
      </c>
      <c r="E35" s="26" t="n">
        <v>261</v>
      </c>
      <c r="F35" s="25" t="n">
        <v>12.37</v>
      </c>
    </row>
    <row r="36">
      <c r="A36" s="24" t="n">
        <v>2022</v>
      </c>
      <c r="B36" s="26" t="n">
        <v>1389</v>
      </c>
      <c r="C36" s="26" t="n">
        <v>847</v>
      </c>
      <c r="D36" s="26" t="n">
        <v>2233</v>
      </c>
      <c r="E36" s="26" t="n">
        <v>260</v>
      </c>
      <c r="F36" s="25" t="n">
        <v>12.17</v>
      </c>
    </row>
    <row r="37">
      <c r="A37" s="24" t="n">
        <v>2023</v>
      </c>
      <c r="B37" s="26" t="n">
        <v>1338</v>
      </c>
      <c r="C37" s="26" t="n">
        <v>852</v>
      </c>
      <c r="D37" s="26" t="n">
        <v>2098</v>
      </c>
      <c r="E37" s="26" t="n">
        <v>249</v>
      </c>
      <c r="F37" s="25" t="n">
        <v>11.72</v>
      </c>
    </row>
    <row r="38">
      <c r="A38" s="24" t="n">
        <v>2024</v>
      </c>
      <c r="B38" s="26" t="n">
        <v>1422</v>
      </c>
      <c r="C38" s="26" t="n">
        <v>718</v>
      </c>
      <c r="D38" s="26" t="n">
        <v>2285</v>
      </c>
      <c r="E38" s="26" t="n">
        <v>269</v>
      </c>
      <c r="F38" s="25" t="n">
        <v>4.27</v>
      </c>
    </row>
    <row r="39">
      <c r="A39" s="24" t="n">
        <v>2025</v>
      </c>
      <c r="B39" s="26" t="n">
        <v>1344</v>
      </c>
      <c r="C39" s="26" t="n">
        <v>723</v>
      </c>
      <c r="D39" s="26" t="n">
        <v>2149</v>
      </c>
      <c r="E39" s="26" t="n">
        <v>269</v>
      </c>
      <c r="F39" s="25" t="n">
        <v>11.77</v>
      </c>
    </row>
    <row r="40">
      <c r="A40" s="24" t="n">
        <v>2026</v>
      </c>
      <c r="B40" s="26" t="n">
        <v>1939</v>
      </c>
      <c r="C40" s="26" t="n">
        <v>1118</v>
      </c>
      <c r="D40" s="26" t="n">
        <v>2679</v>
      </c>
      <c r="E40" s="26" t="n">
        <v>322</v>
      </c>
      <c r="F40" s="25" t="n">
        <v>1.95</v>
      </c>
    </row>
    <row r="42">
      <c r="A42" s="6" t="inlineStr">
        <is>
          <t>E. Generation by Type (TWh)</t>
        </is>
      </c>
    </row>
    <row r="43">
      <c r="A43" s="3" t="inlineStr">
        <is>
          <t>Year</t>
        </is>
      </c>
      <c r="B43" s="3" t="inlineStr">
        <is>
          <t>Biomass</t>
        </is>
      </c>
      <c r="C43" s="3" t="inlineStr">
        <is>
          <t>Gas</t>
        </is>
      </c>
      <c r="D43" s="3" t="inlineStr">
        <is>
          <t>Pumped Storage (Gen)</t>
        </is>
      </c>
      <c r="E43" s="3" t="inlineStr">
        <is>
          <t>Pumped Storage (Pump)</t>
        </is>
      </c>
      <c r="F43" s="3" t="inlineStr">
        <is>
          <t>Hydro</t>
        </is>
      </c>
      <c r="G43" s="3" t="inlineStr">
        <is>
          <t>Other</t>
        </is>
      </c>
      <c r="H43" s="3" t="inlineStr">
        <is>
          <t>Solar</t>
        </is>
      </c>
      <c r="I43" s="3" t="inlineStr">
        <is>
          <t>Waste</t>
        </is>
      </c>
      <c r="J43" s="3" t="inlineStr">
        <is>
          <t>Wind</t>
        </is>
      </c>
      <c r="K43" s="3" t="inlineStr">
        <is>
          <t>Battery Storage</t>
        </is>
      </c>
      <c r="L43" s="3" t="inlineStr">
        <is>
          <t>total</t>
        </is>
      </c>
    </row>
    <row r="44">
      <c r="A44" s="24" t="n">
        <v>2020</v>
      </c>
      <c r="B44" s="27" t="n">
        <v>0</v>
      </c>
      <c r="C44" s="27" t="n">
        <v>0</v>
      </c>
      <c r="D44" s="27" t="n">
        <v>0</v>
      </c>
      <c r="E44" s="27" t="n">
        <v>0</v>
      </c>
      <c r="F44" s="27" t="n">
        <v>0</v>
      </c>
      <c r="G44" s="27" t="n">
        <v>0</v>
      </c>
      <c r="H44" s="27" t="n">
        <v>0</v>
      </c>
      <c r="I44" s="27" t="n">
        <v>0</v>
      </c>
      <c r="J44" s="27" t="n">
        <v>0</v>
      </c>
      <c r="K44" s="27" t="n">
        <v>0</v>
      </c>
      <c r="L44" s="27" t="n">
        <v>0.005</v>
      </c>
    </row>
    <row r="45">
      <c r="A45" s="24" t="n">
        <v>2021</v>
      </c>
      <c r="B45" s="27" t="n">
        <v>0.402</v>
      </c>
      <c r="C45" s="27" t="n">
        <v>1.109</v>
      </c>
      <c r="D45" s="27" t="n">
        <v>0.708</v>
      </c>
      <c r="E45" s="27" t="n">
        <v>0</v>
      </c>
      <c r="F45" s="27" t="n">
        <v>0.328</v>
      </c>
      <c r="G45" s="27" t="n">
        <v>0.132</v>
      </c>
      <c r="H45" s="27" t="n">
        <v>0.126</v>
      </c>
      <c r="I45" s="27" t="n">
        <v>0.147</v>
      </c>
      <c r="J45" s="27" t="n">
        <v>1.252</v>
      </c>
      <c r="K45" s="27" t="n">
        <v>0</v>
      </c>
      <c r="L45" s="27" t="n">
        <v>21.91</v>
      </c>
    </row>
    <row r="46">
      <c r="A46" s="24" t="n">
        <v>2022</v>
      </c>
      <c r="B46" s="27" t="n">
        <v>0.367</v>
      </c>
      <c r="C46" s="27" t="n">
        <v>0.499</v>
      </c>
      <c r="D46" s="27" t="n">
        <v>0.554</v>
      </c>
      <c r="E46" s="27" t="n">
        <v>0.758</v>
      </c>
      <c r="F46" s="27" t="n">
        <v>0.397</v>
      </c>
      <c r="G46" s="27" t="n">
        <v>0.058</v>
      </c>
      <c r="H46" s="27" t="n">
        <v>0.352</v>
      </c>
      <c r="I46" s="27" t="n">
        <v>0.353</v>
      </c>
      <c r="J46" s="27" t="n">
        <v>1.474</v>
      </c>
      <c r="K46" s="27" t="n">
        <v>0</v>
      </c>
      <c r="L46" s="27" t="n">
        <v>22.523</v>
      </c>
    </row>
    <row r="47">
      <c r="A47" s="24" t="n">
        <v>2023</v>
      </c>
      <c r="B47" s="27" t="n">
        <v>0.285</v>
      </c>
      <c r="C47" s="27" t="n">
        <v>0.638</v>
      </c>
      <c r="D47" s="27" t="n">
        <v>0.535</v>
      </c>
      <c r="E47" s="27" t="n">
        <v>0.729</v>
      </c>
      <c r="F47" s="27" t="n">
        <v>0.391</v>
      </c>
      <c r="G47" s="27" t="n">
        <v>0.129</v>
      </c>
      <c r="H47" s="27" t="n">
        <v>0.655</v>
      </c>
      <c r="I47" s="27" t="n">
        <v>0.42</v>
      </c>
      <c r="J47" s="27" t="n">
        <v>2.406</v>
      </c>
      <c r="K47" s="27" t="n">
        <v>0</v>
      </c>
      <c r="L47" s="27" t="n">
        <v>23.908</v>
      </c>
    </row>
    <row r="48">
      <c r="A48" s="24" t="n">
        <v>2024</v>
      </c>
      <c r="B48" s="27" t="n">
        <v>0.079</v>
      </c>
      <c r="C48" s="27" t="n">
        <v>0.323</v>
      </c>
      <c r="D48" s="27" t="n">
        <v>0.199</v>
      </c>
      <c r="E48" s="27" t="n">
        <v>0.272</v>
      </c>
      <c r="F48" s="27" t="n">
        <v>0.121</v>
      </c>
      <c r="G48" s="27" t="n">
        <v>0.109</v>
      </c>
      <c r="H48" s="27" t="n">
        <v>0.365</v>
      </c>
      <c r="I48" s="27" t="n">
        <v>0.254</v>
      </c>
      <c r="J48" s="27" t="n">
        <v>1.319</v>
      </c>
      <c r="K48" s="27" t="n">
        <v>0</v>
      </c>
      <c r="L48" s="27" t="n">
        <v>9.122</v>
      </c>
    </row>
    <row r="49">
      <c r="A49" s="24" t="n">
        <v>2025</v>
      </c>
      <c r="B49" s="27" t="n">
        <v>0.171</v>
      </c>
      <c r="C49" s="27" t="n">
        <v>1.436</v>
      </c>
      <c r="D49" s="27" t="n">
        <v>0.48</v>
      </c>
      <c r="E49" s="27" t="n">
        <v>0.639</v>
      </c>
      <c r="F49" s="27" t="n">
        <v>0.284</v>
      </c>
      <c r="G49" s="27" t="n">
        <v>0.44</v>
      </c>
      <c r="H49" s="27" t="n">
        <v>1.643</v>
      </c>
      <c r="I49" s="27" t="n">
        <v>0.724</v>
      </c>
      <c r="J49" s="27" t="n">
        <v>3.843</v>
      </c>
      <c r="K49" s="27" t="n">
        <v>0.011</v>
      </c>
      <c r="L49" s="27" t="n">
        <v>27.411</v>
      </c>
    </row>
    <row r="50">
      <c r="A50" s="24" t="n">
        <v>2026</v>
      </c>
      <c r="B50" s="27" t="n">
        <v>0.083</v>
      </c>
      <c r="C50" s="27" t="n">
        <v>1.185</v>
      </c>
      <c r="D50" s="27" t="n">
        <v>0.251</v>
      </c>
      <c r="E50" s="27" t="n">
        <v>0.34</v>
      </c>
      <c r="F50" s="27" t="n">
        <v>0.119</v>
      </c>
      <c r="G50" s="27" t="n">
        <v>0.271</v>
      </c>
      <c r="H50" s="27" t="n">
        <v>0.114</v>
      </c>
      <c r="I50" s="27" t="n">
        <v>0.392</v>
      </c>
      <c r="J50" s="27" t="n">
        <v>2.75</v>
      </c>
      <c r="K50" s="27" t="n">
        <v>0.015</v>
      </c>
      <c r="L50" s="27" t="n">
        <v>13.673</v>
      </c>
    </row>
    <row r="52">
      <c r="A52" s="6" t="inlineStr">
        <is>
          <t>F. Cross-border Flows (TWh)</t>
        </is>
      </c>
    </row>
    <row r="53">
      <c r="A53" s="3" t="inlineStr">
        <is>
          <t>Year</t>
        </is>
      </c>
      <c r="B53" s="3" t="inlineStr">
        <is>
          <t>Total Import</t>
        </is>
      </c>
      <c r="C53" s="3" t="inlineStr">
        <is>
          <t>Total Export</t>
        </is>
      </c>
      <c r="D53" s="3" t="inlineStr">
        <is>
          <t>Net Import</t>
        </is>
      </c>
    </row>
    <row r="54">
      <c r="A54" s="24" t="n">
        <v>2021</v>
      </c>
      <c r="B54" s="25" t="n">
        <v>6.34</v>
      </c>
      <c r="C54" s="25" t="n">
        <v>2.34</v>
      </c>
      <c r="D54" s="25" t="n">
        <v>4</v>
      </c>
    </row>
    <row r="55">
      <c r="A55" s="24" t="n">
        <v>2022</v>
      </c>
      <c r="B55" s="25" t="n">
        <v>8.66</v>
      </c>
      <c r="C55" s="25" t="n">
        <v>2.11</v>
      </c>
      <c r="D55" s="25" t="n">
        <v>6.55</v>
      </c>
    </row>
    <row r="56">
      <c r="A56" s="24" t="n">
        <v>2023</v>
      </c>
      <c r="B56" s="25" t="n">
        <v>8.26</v>
      </c>
      <c r="C56" s="25" t="n">
        <v>1.99</v>
      </c>
      <c r="D56" s="25" t="n">
        <v>6.27</v>
      </c>
    </row>
    <row r="57">
      <c r="A57" s="24" t="n">
        <v>2024</v>
      </c>
      <c r="B57" s="25" t="n">
        <v>6.51</v>
      </c>
      <c r="C57" s="25" t="n">
        <v>1.42</v>
      </c>
      <c r="D57" s="25" t="n">
        <v>5.1</v>
      </c>
    </row>
    <row r="58">
      <c r="A58" s="24" t="n">
        <v>2025</v>
      </c>
      <c r="B58" s="25" t="n">
        <v>2.97</v>
      </c>
      <c r="C58" s="25" t="n">
        <v>1.17</v>
      </c>
      <c r="D58" s="25" t="n">
        <v>1.79</v>
      </c>
    </row>
    <row r="59">
      <c r="A59" s="24" t="n">
        <v>2026</v>
      </c>
      <c r="B59" s="25" t="n">
        <v>3.89</v>
      </c>
      <c r="C59" s="25" t="n">
        <v>0.71</v>
      </c>
      <c r="D59" s="25" t="n">
        <v>3.18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Lithuania — Balancing &amp; Reserve Market Data (ENTSO-E API)</t>
        </is>
      </c>
    </row>
    <row r="2">
      <c r="A2" s="2" t="inlineStr">
        <is>
          <t>Retrieved: 2026-02-12 11:47 | Endpoints: A47 (aFRR), A51 (mFRR), Activated Energy, Imbalance</t>
        </is>
      </c>
    </row>
    <row r="4">
      <c r="A4" s="6" t="inlineStr">
        <is>
          <t>A. aFRR Contracted Reserve Prices — Annual Summary (EUR/MW/period)</t>
        </is>
      </c>
    </row>
    <row r="5">
      <c r="A5" s="3" t="inlineStr">
        <is>
          <t>Year</t>
        </is>
      </c>
      <c r="B5" s="3" t="inlineStr">
        <is>
          <t>Up Price
Mean</t>
        </is>
      </c>
      <c r="C5" s="3" t="inlineStr">
        <is>
          <t>Up Price
Median</t>
        </is>
      </c>
      <c r="D5" s="3" t="inlineStr">
        <is>
          <t>Up Price
P90</t>
        </is>
      </c>
      <c r="E5" s="3" t="inlineStr">
        <is>
          <t>Up Price
Max</t>
        </is>
      </c>
      <c r="F5" s="3" t="inlineStr">
        <is>
          <t>Up Qty
Mean (MW)</t>
        </is>
      </c>
      <c r="G5" s="3" t="inlineStr">
        <is>
          <t>Down Price
Mean</t>
        </is>
      </c>
      <c r="H5" s="3" t="inlineStr">
        <is>
          <t>Down Price
Median</t>
        </is>
      </c>
      <c r="I5" s="3" t="inlineStr">
        <is>
          <t>Down Price
P90</t>
        </is>
      </c>
      <c r="J5" s="3" t="inlineStr">
        <is>
          <t>Down Qty
Mean (MW)</t>
        </is>
      </c>
      <c r="K5" s="3" t="inlineStr">
        <is>
          <t>Data Points</t>
        </is>
      </c>
    </row>
    <row r="6">
      <c r="A6" s="24" t="n">
        <v>2024</v>
      </c>
      <c r="B6" s="25" t="n">
        <v>0.87</v>
      </c>
      <c r="C6" s="25" t="n">
        <v>0.87</v>
      </c>
      <c r="D6" s="25" t="n">
        <v>0.87</v>
      </c>
      <c r="E6" s="25" t="n">
        <v>0.87</v>
      </c>
      <c r="F6" s="26" t="n">
        <v>349</v>
      </c>
      <c r="G6" s="25" t="n">
        <v>0</v>
      </c>
      <c r="H6" s="25" t="n">
        <v>0</v>
      </c>
      <c r="I6" s="25" t="n">
        <v>0</v>
      </c>
      <c r="J6" s="26" t="n">
        <v>0</v>
      </c>
      <c r="K6" s="24" t="n">
        <v>18921</v>
      </c>
    </row>
    <row r="7">
      <c r="A7" s="24" t="n">
        <v>2025</v>
      </c>
      <c r="B7" s="25" t="n">
        <v>29.56</v>
      </c>
      <c r="C7" s="25" t="n">
        <v>11.63</v>
      </c>
      <c r="D7" s="25" t="n">
        <v>52.9</v>
      </c>
      <c r="E7" s="25" t="n">
        <v>4000</v>
      </c>
      <c r="F7" s="26" t="n">
        <v>410</v>
      </c>
      <c r="G7" s="25" t="n">
        <v>18.34</v>
      </c>
      <c r="H7" s="25" t="n">
        <v>10</v>
      </c>
      <c r="I7" s="25" t="n">
        <v>20.7</v>
      </c>
      <c r="J7" s="26" t="n">
        <v>354</v>
      </c>
      <c r="K7" s="24" t="n">
        <v>34560</v>
      </c>
    </row>
    <row r="8">
      <c r="A8" s="24" t="n">
        <v>2026</v>
      </c>
      <c r="B8" s="25" t="n">
        <v>33.63</v>
      </c>
      <c r="C8" s="25" t="n">
        <v>19.6</v>
      </c>
      <c r="D8" s="25" t="n">
        <v>85.70999999999999</v>
      </c>
      <c r="E8" s="25" t="n">
        <v>778.41</v>
      </c>
      <c r="F8" s="26" t="n">
        <v>248</v>
      </c>
      <c r="G8" s="25" t="n">
        <v>18.25</v>
      </c>
      <c r="H8" s="25" t="n">
        <v>17.2</v>
      </c>
      <c r="I8" s="25" t="n">
        <v>32.31</v>
      </c>
      <c r="J8" s="26" t="n">
        <v>239</v>
      </c>
      <c r="K8" s="24" t="n">
        <v>2682</v>
      </c>
    </row>
    <row r="10">
      <c r="A10" s="6" t="inlineStr">
        <is>
          <t>B. aFRR Monthly Breakdown</t>
        </is>
      </c>
    </row>
    <row r="11">
      <c r="A11" s="3" t="inlineStr">
        <is>
          <t>Year</t>
        </is>
      </c>
      <c r="B11" s="3" t="inlineStr">
        <is>
          <t>Month</t>
        </is>
      </c>
      <c r="C11" s="3" t="inlineStr">
        <is>
          <t>Up Price Mean</t>
        </is>
      </c>
      <c r="D11" s="3" t="inlineStr">
        <is>
          <t>Up Price Median</t>
        </is>
      </c>
      <c r="E11" s="3" t="inlineStr">
        <is>
          <t>Up Price P90</t>
        </is>
      </c>
      <c r="F11" s="3" t="inlineStr">
        <is>
          <t>Up Qty Mean</t>
        </is>
      </c>
      <c r="G11" s="3" t="inlineStr">
        <is>
          <t>Down Price Mean</t>
        </is>
      </c>
      <c r="H11" s="3" t="inlineStr">
        <is>
          <t>Down Qty Mean</t>
        </is>
      </c>
    </row>
    <row r="12">
      <c r="A12" s="24" t="n">
        <v>2024</v>
      </c>
      <c r="B12" s="24" t="n">
        <v>5</v>
      </c>
      <c r="C12" s="25" t="n">
        <v>0.87</v>
      </c>
      <c r="D12" s="25" t="n">
        <v>0.87</v>
      </c>
      <c r="E12" s="25" t="n">
        <v>0.87</v>
      </c>
      <c r="F12" s="26" t="n">
        <v>350</v>
      </c>
      <c r="G12" s="25" t="n">
        <v>0</v>
      </c>
      <c r="H12" s="26" t="n">
        <v>0</v>
      </c>
    </row>
    <row r="13">
      <c r="A13" s="24" t="n">
        <v>2024</v>
      </c>
      <c r="B13" s="24" t="n">
        <v>6</v>
      </c>
      <c r="C13" s="25" t="n">
        <v>0.87</v>
      </c>
      <c r="D13" s="25" t="n">
        <v>0.87</v>
      </c>
      <c r="E13" s="25" t="n">
        <v>0.87</v>
      </c>
      <c r="F13" s="26" t="n">
        <v>346</v>
      </c>
      <c r="G13" s="25" t="n">
        <v>0</v>
      </c>
      <c r="H13" s="26" t="n">
        <v>0</v>
      </c>
    </row>
    <row r="14">
      <c r="A14" s="24" t="n">
        <v>2024</v>
      </c>
      <c r="B14" s="24" t="n">
        <v>7</v>
      </c>
      <c r="C14" s="25" t="n">
        <v>0.87</v>
      </c>
      <c r="D14" s="25" t="n">
        <v>0.87</v>
      </c>
      <c r="E14" s="25" t="n">
        <v>0.87</v>
      </c>
      <c r="F14" s="26" t="n">
        <v>348</v>
      </c>
      <c r="G14" s="25" t="n">
        <v>0</v>
      </c>
      <c r="H14" s="26" t="n">
        <v>0</v>
      </c>
    </row>
    <row r="15">
      <c r="A15" s="24" t="n">
        <v>2024</v>
      </c>
      <c r="B15" s="24" t="n">
        <v>8</v>
      </c>
      <c r="C15" s="25" t="n">
        <v>0.87</v>
      </c>
      <c r="D15" s="25" t="n">
        <v>0.87</v>
      </c>
      <c r="E15" s="25" t="n">
        <v>0.87</v>
      </c>
      <c r="F15" s="26" t="n">
        <v>350</v>
      </c>
      <c r="G15" s="25" t="n">
        <v>0</v>
      </c>
      <c r="H15" s="26" t="n">
        <v>0</v>
      </c>
    </row>
    <row r="16">
      <c r="A16" s="24" t="n">
        <v>2024</v>
      </c>
      <c r="B16" s="24" t="n">
        <v>9</v>
      </c>
      <c r="C16" s="25" t="n">
        <v>0.87</v>
      </c>
      <c r="D16" s="25" t="n">
        <v>0.87</v>
      </c>
      <c r="E16" s="25" t="n">
        <v>0.87</v>
      </c>
      <c r="F16" s="26" t="n">
        <v>348</v>
      </c>
      <c r="G16" s="25" t="n">
        <v>0</v>
      </c>
      <c r="H16" s="26" t="n">
        <v>0</v>
      </c>
    </row>
    <row r="17">
      <c r="A17" s="24" t="n">
        <v>2024</v>
      </c>
      <c r="B17" s="24" t="n">
        <v>10</v>
      </c>
      <c r="C17" s="25" t="n">
        <v>0.87</v>
      </c>
      <c r="D17" s="25" t="n">
        <v>0.87</v>
      </c>
      <c r="E17" s="25" t="n">
        <v>0.87</v>
      </c>
      <c r="F17" s="26" t="n">
        <v>347</v>
      </c>
      <c r="G17" s="25" t="n">
        <v>0</v>
      </c>
      <c r="H17" s="26" t="n">
        <v>0</v>
      </c>
    </row>
    <row r="18">
      <c r="A18" s="24" t="n">
        <v>2024</v>
      </c>
      <c r="B18" s="24" t="n">
        <v>11</v>
      </c>
      <c r="C18" s="25" t="n">
        <v>0.87</v>
      </c>
      <c r="D18" s="25" t="n">
        <v>0.87</v>
      </c>
      <c r="E18" s="25" t="n">
        <v>0.87</v>
      </c>
      <c r="F18" s="26" t="n">
        <v>350</v>
      </c>
      <c r="G18" s="25" t="n">
        <v>0</v>
      </c>
      <c r="H18" s="26" t="n">
        <v>0</v>
      </c>
    </row>
    <row r="19">
      <c r="A19" s="24" t="n">
        <v>2024</v>
      </c>
      <c r="B19" s="24" t="n">
        <v>12</v>
      </c>
      <c r="C19" s="25" t="n">
        <v>0.87</v>
      </c>
      <c r="D19" s="25" t="n">
        <v>0.87</v>
      </c>
      <c r="E19" s="25" t="n">
        <v>0.87</v>
      </c>
      <c r="F19" s="26" t="n">
        <v>350</v>
      </c>
      <c r="G19" s="25" t="n">
        <v>0</v>
      </c>
      <c r="H19" s="26" t="n">
        <v>0</v>
      </c>
    </row>
    <row r="20">
      <c r="A20" s="24" t="n">
        <v>2025</v>
      </c>
      <c r="B20" s="24" t="n">
        <v>1</v>
      </c>
      <c r="C20" s="25" t="n">
        <v>0.73</v>
      </c>
      <c r="D20" s="25" t="n">
        <v>0.73</v>
      </c>
      <c r="E20" s="25" t="n">
        <v>0.73</v>
      </c>
      <c r="F20" s="26" t="n">
        <v>341</v>
      </c>
      <c r="G20" s="25" t="n">
        <v>0</v>
      </c>
      <c r="H20" s="26" t="n">
        <v>0</v>
      </c>
    </row>
    <row r="21">
      <c r="A21" s="24" t="n">
        <v>2025</v>
      </c>
      <c r="B21" s="24" t="n">
        <v>2</v>
      </c>
      <c r="C21" s="25" t="n">
        <v>12.43</v>
      </c>
      <c r="D21" s="25" t="n">
        <v>11.14</v>
      </c>
      <c r="E21" s="25" t="n">
        <v>26.38</v>
      </c>
      <c r="F21" s="26" t="n">
        <v>501</v>
      </c>
      <c r="G21" s="25" t="n">
        <v>16.6</v>
      </c>
      <c r="H21" s="26" t="n">
        <v>379</v>
      </c>
    </row>
    <row r="22">
      <c r="A22" s="24" t="n">
        <v>2025</v>
      </c>
      <c r="B22" s="24" t="n">
        <v>3</v>
      </c>
      <c r="C22" s="25" t="n">
        <v>70.7</v>
      </c>
      <c r="D22" s="25" t="n">
        <v>35.7</v>
      </c>
      <c r="E22" s="25" t="n">
        <v>110.87</v>
      </c>
      <c r="F22" s="26" t="n">
        <v>536</v>
      </c>
      <c r="G22" s="25" t="n">
        <v>67.51000000000001</v>
      </c>
      <c r="H22" s="26" t="n">
        <v>456</v>
      </c>
    </row>
    <row r="23">
      <c r="A23" s="24" t="n">
        <v>2025</v>
      </c>
      <c r="B23" s="24" t="n">
        <v>4</v>
      </c>
      <c r="C23" s="25" t="n">
        <v>56.29</v>
      </c>
      <c r="D23" s="25" t="n">
        <v>19.53</v>
      </c>
      <c r="E23" s="25" t="n">
        <v>138.93</v>
      </c>
      <c r="F23" s="26" t="n">
        <v>429</v>
      </c>
      <c r="G23" s="25" t="n">
        <v>29.9</v>
      </c>
      <c r="H23" s="26" t="n">
        <v>424</v>
      </c>
    </row>
    <row r="24">
      <c r="A24" s="24" t="n">
        <v>2025</v>
      </c>
      <c r="B24" s="24" t="n">
        <v>5</v>
      </c>
      <c r="C24" s="25" t="n">
        <v>17.35</v>
      </c>
      <c r="D24" s="25" t="n">
        <v>13.83</v>
      </c>
      <c r="E24" s="25" t="n">
        <v>39.02</v>
      </c>
      <c r="F24" s="26" t="n">
        <v>374</v>
      </c>
      <c r="G24" s="25" t="n">
        <v>15.82</v>
      </c>
      <c r="H24" s="26" t="n">
        <v>426</v>
      </c>
    </row>
    <row r="25">
      <c r="A25" s="24" t="n">
        <v>2025</v>
      </c>
      <c r="B25" s="24" t="n">
        <v>6</v>
      </c>
      <c r="C25" s="25" t="n">
        <v>7.33</v>
      </c>
      <c r="D25" s="25" t="n">
        <v>3.31</v>
      </c>
      <c r="E25" s="25" t="n">
        <v>18.6</v>
      </c>
      <c r="F25" s="26" t="n">
        <v>416</v>
      </c>
      <c r="G25" s="25" t="n">
        <v>10.93</v>
      </c>
      <c r="H25" s="26" t="n">
        <v>457</v>
      </c>
    </row>
    <row r="26">
      <c r="A26" s="24" t="n">
        <v>2025</v>
      </c>
      <c r="B26" s="24" t="n">
        <v>7</v>
      </c>
      <c r="C26" s="25" t="n">
        <v>12.57</v>
      </c>
      <c r="D26" s="25" t="n">
        <v>10.79</v>
      </c>
      <c r="E26" s="25" t="n">
        <v>24.36</v>
      </c>
      <c r="F26" s="26" t="n">
        <v>490</v>
      </c>
      <c r="G26" s="25" t="n">
        <v>10.39</v>
      </c>
      <c r="H26" s="26" t="n">
        <v>442</v>
      </c>
    </row>
    <row r="27">
      <c r="A27" s="24" t="n">
        <v>2025</v>
      </c>
      <c r="B27" s="24" t="n">
        <v>8</v>
      </c>
      <c r="C27" s="25" t="n">
        <v>20.01</v>
      </c>
      <c r="D27" s="25" t="n">
        <v>11.48</v>
      </c>
      <c r="E27" s="25" t="n">
        <v>27.79</v>
      </c>
      <c r="F27" s="26" t="n">
        <v>449</v>
      </c>
      <c r="G27" s="25" t="n">
        <v>9.699999999999999</v>
      </c>
      <c r="H27" s="26" t="n">
        <v>423</v>
      </c>
    </row>
    <row r="28">
      <c r="A28" s="24" t="n">
        <v>2025</v>
      </c>
      <c r="B28" s="24" t="n">
        <v>9</v>
      </c>
      <c r="C28" s="25" t="n">
        <v>92.06999999999999</v>
      </c>
      <c r="D28" s="25" t="n">
        <v>19.6</v>
      </c>
      <c r="E28" s="25" t="n">
        <v>100</v>
      </c>
      <c r="F28" s="26" t="n">
        <v>387</v>
      </c>
      <c r="G28" s="25" t="n">
        <v>17.22</v>
      </c>
      <c r="H28" s="26" t="n">
        <v>381</v>
      </c>
    </row>
    <row r="29">
      <c r="A29" s="24" t="n">
        <v>2025</v>
      </c>
      <c r="B29" s="24" t="n">
        <v>10</v>
      </c>
      <c r="C29" s="25" t="n">
        <v>32.93</v>
      </c>
      <c r="D29" s="25" t="n">
        <v>19.4</v>
      </c>
      <c r="E29" s="25" t="n">
        <v>73.90000000000001</v>
      </c>
      <c r="F29" s="26" t="n">
        <v>282</v>
      </c>
      <c r="G29" s="25" t="n">
        <v>16.86</v>
      </c>
      <c r="H29" s="26" t="n">
        <v>267</v>
      </c>
    </row>
    <row r="30">
      <c r="A30" s="24" t="n">
        <v>2025</v>
      </c>
      <c r="B30" s="24" t="n">
        <v>11</v>
      </c>
      <c r="C30" s="25" t="n">
        <v>13.29</v>
      </c>
      <c r="D30" s="25" t="n">
        <v>9.77</v>
      </c>
      <c r="E30" s="25" t="n">
        <v>24.96</v>
      </c>
      <c r="F30" s="26" t="n">
        <v>365</v>
      </c>
      <c r="G30" s="25" t="n">
        <v>12.18</v>
      </c>
      <c r="H30" s="26" t="n">
        <v>310</v>
      </c>
    </row>
    <row r="31">
      <c r="A31" s="24" t="n">
        <v>2025</v>
      </c>
      <c r="B31" s="24" t="n">
        <v>12</v>
      </c>
      <c r="C31" s="25" t="n">
        <v>17.9</v>
      </c>
      <c r="D31" s="25" t="n">
        <v>12.81</v>
      </c>
      <c r="E31" s="25" t="n">
        <v>35.94</v>
      </c>
      <c r="F31" s="26" t="n">
        <v>343</v>
      </c>
      <c r="G31" s="25" t="n">
        <v>12.23</v>
      </c>
      <c r="H31" s="26" t="n">
        <v>284</v>
      </c>
    </row>
    <row r="32">
      <c r="A32" s="24" t="n">
        <v>2026</v>
      </c>
      <c r="B32" s="24" t="n">
        <v>1</v>
      </c>
      <c r="C32" s="25" t="n">
        <v>24.01</v>
      </c>
      <c r="D32" s="25" t="n">
        <v>15.28</v>
      </c>
      <c r="E32" s="25" t="n">
        <v>63.9</v>
      </c>
      <c r="F32" s="26" t="n">
        <v>247</v>
      </c>
      <c r="G32" s="25" t="n">
        <v>16.51</v>
      </c>
      <c r="H32" s="26" t="n">
        <v>262</v>
      </c>
    </row>
    <row r="33">
      <c r="A33" s="24" t="n">
        <v>2026</v>
      </c>
      <c r="B33" s="24" t="n">
        <v>2</v>
      </c>
      <c r="C33" s="25" t="n">
        <v>46.55</v>
      </c>
      <c r="D33" s="25" t="n">
        <v>29.31</v>
      </c>
      <c r="E33" s="25" t="n">
        <v>100</v>
      </c>
      <c r="F33" s="26" t="n">
        <v>248</v>
      </c>
      <c r="G33" s="25" t="n">
        <v>20.57</v>
      </c>
      <c r="H33" s="26" t="n">
        <v>208</v>
      </c>
    </row>
    <row r="35">
      <c r="A35" s="6" t="inlineStr">
        <is>
          <t>C. mFRR Contracted Reserve Prices — Annual Summary</t>
        </is>
      </c>
    </row>
    <row r="36">
      <c r="A36" s="3" t="inlineStr">
        <is>
          <t>Year</t>
        </is>
      </c>
      <c r="B36" s="3" t="inlineStr">
        <is>
          <t>Up Price Mean</t>
        </is>
      </c>
      <c r="C36" s="3" t="inlineStr">
        <is>
          <t>Up Price Median</t>
        </is>
      </c>
      <c r="D36" s="3" t="inlineStr">
        <is>
          <t>Up Price Max</t>
        </is>
      </c>
      <c r="E36" s="3" t="inlineStr">
        <is>
          <t>Up Qty Mean (MW)</t>
        </is>
      </c>
      <c r="F36" s="3" t="inlineStr">
        <is>
          <t>Down Price Mean</t>
        </is>
      </c>
      <c r="G36" s="3" t="inlineStr">
        <is>
          <t>Down Price Median</t>
        </is>
      </c>
      <c r="H36" s="3" t="inlineStr">
        <is>
          <t>Down Qty Mean (MW)</t>
        </is>
      </c>
      <c r="I36" s="3" t="inlineStr">
        <is>
          <t>Data Points</t>
        </is>
      </c>
    </row>
    <row r="37">
      <c r="A37" s="24" t="n">
        <v>2024</v>
      </c>
      <c r="B37" s="25" t="n">
        <v>17.48</v>
      </c>
      <c r="C37" s="25" t="n">
        <v>0</v>
      </c>
      <c r="D37" s="25" t="n">
        <v>361.01</v>
      </c>
      <c r="E37" s="26" t="n">
        <v>3</v>
      </c>
      <c r="F37" s="25" t="n">
        <v>17.48</v>
      </c>
      <c r="G37" s="25" t="n">
        <v>0</v>
      </c>
      <c r="H37" s="26" t="n">
        <v>3</v>
      </c>
      <c r="I37" s="24" t="n">
        <v>19017</v>
      </c>
    </row>
    <row r="38">
      <c r="A38" s="24" t="n">
        <v>2025</v>
      </c>
      <c r="B38" s="25" t="n">
        <v>80.23999999999999</v>
      </c>
      <c r="C38" s="25" t="n">
        <v>0</v>
      </c>
      <c r="D38" s="25" t="n">
        <v>4000</v>
      </c>
      <c r="E38" s="26" t="n">
        <v>36</v>
      </c>
      <c r="F38" s="25" t="n">
        <v>85.91</v>
      </c>
      <c r="G38" s="25" t="n">
        <v>0.18</v>
      </c>
      <c r="H38" s="26" t="n">
        <v>36</v>
      </c>
      <c r="I38" s="24" t="n">
        <v>34465</v>
      </c>
    </row>
    <row r="39">
      <c r="A39" s="24" t="n">
        <v>2026</v>
      </c>
      <c r="B39" s="25" t="n">
        <v>53.84</v>
      </c>
      <c r="C39" s="25" t="n">
        <v>16.68</v>
      </c>
      <c r="D39" s="25" t="n">
        <v>4000</v>
      </c>
      <c r="E39" s="26" t="n">
        <v>79</v>
      </c>
      <c r="F39" s="25" t="n">
        <v>16.1</v>
      </c>
      <c r="G39" s="25" t="n">
        <v>0.02</v>
      </c>
      <c r="H39" s="26" t="n">
        <v>74</v>
      </c>
      <c r="I39" s="24" t="n">
        <v>2682</v>
      </c>
    </row>
    <row r="41">
      <c r="A41" s="6" t="inlineStr">
        <is>
          <t>D. Activated Balancing Energy Prices (Jun-Oct 2024)</t>
        </is>
      </c>
    </row>
    <row r="42">
      <c r="A42" s="3" t="inlineStr">
        <is>
          <t>Direction</t>
        </is>
      </c>
      <c r="B42" s="3" t="inlineStr">
        <is>
          <t>Count</t>
        </is>
      </c>
      <c r="C42" s="3" t="inlineStr">
        <is>
          <t>Mean Price</t>
        </is>
      </c>
      <c r="D42" s="3" t="inlineStr">
        <is>
          <t>Median Price</t>
        </is>
      </c>
      <c r="E42" s="3" t="inlineStr">
        <is>
          <t>Max/Min Price</t>
        </is>
      </c>
    </row>
    <row r="43">
      <c r="A43" s="24" t="inlineStr">
        <is>
          <t>Up (shortage)</t>
        </is>
      </c>
      <c r="B43" s="24" t="n">
        <v>778</v>
      </c>
      <c r="C43" s="25" t="n">
        <v>296.81</v>
      </c>
      <c r="D43" s="25" t="n">
        <v>257.07</v>
      </c>
      <c r="E43" s="25" t="n">
        <v>1017.5</v>
      </c>
    </row>
    <row r="44">
      <c r="A44" s="24" t="inlineStr">
        <is>
          <t>Down (surplus)</t>
        </is>
      </c>
      <c r="B44" s="24" t="n">
        <v>1475</v>
      </c>
      <c r="C44" s="25" t="n">
        <v>-5.02</v>
      </c>
      <c r="D44" s="25" t="n">
        <v>1</v>
      </c>
      <c r="E44" s="25" t="n">
        <v>-300</v>
      </c>
    </row>
    <row r="46">
      <c r="A46" s="6" t="inlineStr">
        <is>
          <t>E. Key Interpretation Notes</t>
        </is>
      </c>
    </row>
    <row r="47">
      <c r="A47" s="15" t="inlineStr">
        <is>
          <t>• aFRR data available from Jun 2024 onwards (Baltic aFRR market launch)</t>
        </is>
      </c>
    </row>
    <row r="48">
      <c r="A48" s="15" t="inlineStr">
        <is>
          <t>• 2024 aFRR Up price fixed at €0.87/MW/period — initial regulated price before market launch</t>
        </is>
      </c>
    </row>
    <row r="49">
      <c r="A49" s="15" t="inlineStr">
        <is>
          <t>• 2025: Market-based pricing active — mean Up €29.55, median €11.61, P90 significantly higher</t>
        </is>
      </c>
    </row>
    <row r="50">
      <c r="A50" s="15" t="inlineStr">
        <is>
          <t>• 2026 (Jan-Feb): Mean Up €33.60 — winter peak effect visible</t>
        </is>
      </c>
    </row>
    <row r="51">
      <c r="A51" s="15" t="inlineStr">
        <is>
          <t>• aFRR Up Quantity: ~350-430 MW contracted on average — this is TOTAL Baltic requirement, not just LT</t>
        </is>
      </c>
    </row>
    <row r="52">
      <c r="A52" s="15" t="inlineStr">
        <is>
          <t>• Lithuania's share is typically ~80-120 MW of the total Baltic aFRR requirement</t>
        </is>
      </c>
    </row>
    <row r="53">
      <c r="A53" s="15" t="inlineStr">
        <is>
          <t>• mFRR prices are significantly higher (mean €80 Up in 2025) but volumes are smaller (~36 MW)</t>
        </is>
      </c>
    </row>
    <row r="54">
      <c r="A54" s="15" t="inlineStr">
        <is>
          <t>• Activated balancing energy Up prices: mean €297/MWh — significant premium over DA prices</t>
        </is>
      </c>
    </row>
    <row r="55">
      <c r="A55" s="15" t="inlineStr">
        <is>
          <t>• PICASSO go-live (Mar 2025) changed pricing dynamics — cross-border competition for aFRR</t>
        </is>
      </c>
    </row>
    <row r="56">
      <c r="A56" s="15" t="inlineStr">
        <is>
          <t>• Imbalance price data gap Oct 2024 — Feb 2026: ENTSO-E has not published new-format data yet</t>
        </is>
      </c>
    </row>
    <row r="57">
      <c r="A57" s="15" t="inlineStr">
        <is>
          <t>• The 15-min ISP transition caused a data format change that ENTSO-E is still catching up on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60" customWidth="1" min="3" max="3"/>
    <col width="10" customWidth="1" min="4" max="4"/>
    <col width="24" customWidth="1" min="5" max="5"/>
    <col width="17" customWidth="1" min="6" max="6"/>
    <col width="22" customWidth="1" min="7" max="7"/>
  </cols>
  <sheetData>
    <row r="1">
      <c r="A1" s="1" t="inlineStr">
        <is>
          <t>BESS Revenue Analysis by Duration &amp; Market</t>
        </is>
      </c>
    </row>
    <row r="2">
      <c r="A2" s="2" t="inlineStr">
        <is>
          <t>Based on actual ENTSO-E data (2024-2025) with forward projections (2026-2030)</t>
        </is>
      </c>
    </row>
    <row r="4">
      <c r="A4" s="6" t="inlineStr">
        <is>
          <t>Table 1: BESS Revenue 2025 Actual — EUR/MW/year</t>
        </is>
      </c>
    </row>
    <row r="5">
      <c r="A5" s="3" t="inlineStr">
        <is>
          <t>Revenue Stream</t>
        </is>
      </c>
      <c r="B5" s="3" t="inlineStr">
        <is>
          <t>1h BESS</t>
        </is>
      </c>
      <c r="C5" s="3" t="inlineStr">
        <is>
          <t>2h BESS</t>
        </is>
      </c>
      <c r="D5" s="3" t="inlineStr">
        <is>
          <t>4h BESS</t>
        </is>
      </c>
      <c r="E5" s="3" t="inlineStr">
        <is>
          <t>1h EUR/kW/yr</t>
        </is>
      </c>
      <c r="F5" s="3" t="inlineStr">
        <is>
          <t>2h EUR/kW/yr</t>
        </is>
      </c>
      <c r="G5" s="3" t="inlineStr">
        <is>
          <t>4h EUR/kW/yr</t>
        </is>
      </c>
    </row>
    <row r="6">
      <c r="A6" s="28" t="inlineStr">
        <is>
          <t>DA Arbitrage</t>
        </is>
      </c>
      <c r="B6" s="26" t="n">
        <v>50613</v>
      </c>
      <c r="C6" s="26" t="n">
        <v>93466</v>
      </c>
      <c r="D6" s="26" t="n">
        <v>163707</v>
      </c>
      <c r="E6" s="29" t="n">
        <v>50.6</v>
      </c>
      <c r="F6" s="29" t="n">
        <v>93.5</v>
      </c>
      <c r="G6" s="29" t="n">
        <v>163.7</v>
      </c>
    </row>
    <row r="7">
      <c r="A7" s="28" t="inlineStr">
        <is>
          <t>aFRR</t>
        </is>
      </c>
      <c r="B7" s="26" t="n">
        <v>545467</v>
      </c>
      <c r="C7" s="26" t="n">
        <v>671344</v>
      </c>
      <c r="D7" s="26" t="n">
        <v>755262</v>
      </c>
      <c r="E7" s="29" t="n">
        <v>545.5</v>
      </c>
      <c r="F7" s="29" t="n">
        <v>671.3</v>
      </c>
      <c r="G7" s="29" t="n">
        <v>755.3</v>
      </c>
    </row>
    <row r="8">
      <c r="A8" s="28" t="inlineStr">
        <is>
          <t>FCR</t>
        </is>
      </c>
      <c r="B8" s="26" t="n">
        <v>216810</v>
      </c>
      <c r="C8" s="26" t="n">
        <v>221628</v>
      </c>
      <c r="D8" s="26" t="n">
        <v>228855</v>
      </c>
      <c r="E8" s="29" t="n">
        <v>216.8</v>
      </c>
      <c r="F8" s="29" t="n">
        <v>221.6</v>
      </c>
      <c r="G8" s="29" t="n">
        <v>228.9</v>
      </c>
    </row>
    <row r="9">
      <c r="A9" s="28" t="inlineStr">
        <is>
          <t>mFRR</t>
        </is>
      </c>
      <c r="B9" s="26" t="n">
        <v>2037634</v>
      </c>
      <c r="C9" s="26" t="n">
        <v>2386943</v>
      </c>
      <c r="D9" s="26" t="n">
        <v>2619815</v>
      </c>
      <c r="E9" s="29" t="n">
        <v>2037.6</v>
      </c>
      <c r="F9" s="29" t="n">
        <v>2386.9</v>
      </c>
      <c r="G9" s="29" t="n">
        <v>2619.8</v>
      </c>
    </row>
    <row r="10">
      <c r="A10" s="28" t="inlineStr">
        <is>
          <t>Imbalance</t>
        </is>
      </c>
      <c r="B10" s="26" t="n">
        <v>0</v>
      </c>
      <c r="C10" s="26" t="n">
        <v>0</v>
      </c>
      <c r="D10" s="26" t="n">
        <v>0</v>
      </c>
      <c r="E10" s="29" t="n">
        <v>0</v>
      </c>
      <c r="F10" s="29" t="n">
        <v>0</v>
      </c>
      <c r="G10" s="29" t="n">
        <v>0</v>
      </c>
    </row>
    <row r="11">
      <c r="A11" s="30" t="inlineStr">
        <is>
          <t>Multi-Market Combined</t>
        </is>
      </c>
      <c r="B11" s="31" t="n">
        <v>544284</v>
      </c>
      <c r="C11" s="31" t="n">
        <v>556887</v>
      </c>
      <c r="D11" s="31" t="n">
        <v>577546</v>
      </c>
      <c r="E11" s="32" t="n">
        <v>544.3</v>
      </c>
      <c r="F11" s="32" t="n">
        <v>556.9</v>
      </c>
      <c r="G11" s="32" t="n">
        <v>577.5</v>
      </c>
    </row>
    <row r="13">
      <c r="A13" s="6" t="inlineStr">
        <is>
          <t>Table 2: BESS Revenue 2024 Actual — EUR/MW/year</t>
        </is>
      </c>
    </row>
    <row r="14">
      <c r="A14" s="3" t="inlineStr">
        <is>
          <t>Revenue Stream</t>
        </is>
      </c>
      <c r="B14" s="3" t="inlineStr">
        <is>
          <t>1h BESS</t>
        </is>
      </c>
      <c r="C14" s="3" t="inlineStr">
        <is>
          <t>2h BESS</t>
        </is>
      </c>
      <c r="D14" s="3" t="inlineStr">
        <is>
          <t>4h BESS</t>
        </is>
      </c>
      <c r="E14" s="3" t="inlineStr">
        <is>
          <t>1h EUR/kW/yr</t>
        </is>
      </c>
      <c r="F14" s="3" t="inlineStr">
        <is>
          <t>2h EUR/kW/yr</t>
        </is>
      </c>
      <c r="G14" s="3" t="inlineStr">
        <is>
          <t>4h EUR/kW/yr</t>
        </is>
      </c>
    </row>
    <row r="15">
      <c r="A15" s="28" t="inlineStr">
        <is>
          <t>DA Arbitrage</t>
        </is>
      </c>
      <c r="B15" s="26" t="n">
        <v>42973</v>
      </c>
      <c r="C15" s="26" t="n">
        <v>78611</v>
      </c>
      <c r="D15" s="26" t="n">
        <v>132199</v>
      </c>
      <c r="E15" s="29" t="n">
        <v>43</v>
      </c>
      <c r="F15" s="29" t="n">
        <v>78.59999999999999</v>
      </c>
      <c r="G15" s="29" t="n">
        <v>132.2</v>
      </c>
    </row>
    <row r="16">
      <c r="A16" s="28" t="inlineStr">
        <is>
          <t>aFRR</t>
        </is>
      </c>
      <c r="B16" s="26" t="n">
        <v>9907</v>
      </c>
      <c r="C16" s="26" t="n">
        <v>12194</v>
      </c>
      <c r="D16" s="26" t="n">
        <v>13718</v>
      </c>
      <c r="E16" s="29" t="n">
        <v>9.9</v>
      </c>
      <c r="F16" s="29" t="n">
        <v>12.2</v>
      </c>
      <c r="G16" s="29" t="n">
        <v>13.7</v>
      </c>
    </row>
    <row r="17">
      <c r="A17" s="28" t="inlineStr">
        <is>
          <t>FCR</t>
        </is>
      </c>
      <c r="B17" s="26" t="n">
        <v>0</v>
      </c>
      <c r="C17" s="26" t="n">
        <v>0</v>
      </c>
      <c r="D17" s="26" t="n">
        <v>0</v>
      </c>
      <c r="E17" s="29" t="n">
        <v>0</v>
      </c>
      <c r="F17" s="29" t="n">
        <v>0</v>
      </c>
      <c r="G17" s="29" t="n">
        <v>0</v>
      </c>
    </row>
    <row r="18">
      <c r="A18" s="28" t="inlineStr">
        <is>
          <t>mFRR</t>
        </is>
      </c>
      <c r="B18" s="26" t="n">
        <v>428823</v>
      </c>
      <c r="C18" s="26" t="n">
        <v>502335</v>
      </c>
      <c r="D18" s="26" t="n">
        <v>551344</v>
      </c>
      <c r="E18" s="29" t="n">
        <v>428.8</v>
      </c>
      <c r="F18" s="29" t="n">
        <v>502.3</v>
      </c>
      <c r="G18" s="29" t="n">
        <v>551.3</v>
      </c>
    </row>
    <row r="19">
      <c r="A19" s="28" t="inlineStr">
        <is>
          <t>Imbalance</t>
        </is>
      </c>
      <c r="B19" s="26" t="n">
        <v>68969</v>
      </c>
      <c r="C19" s="26" t="n">
        <v>126074</v>
      </c>
      <c r="D19" s="26" t="n">
        <v>218269</v>
      </c>
      <c r="E19" s="29" t="n">
        <v>69</v>
      </c>
      <c r="F19" s="29" t="n">
        <v>126.1</v>
      </c>
      <c r="G19" s="29" t="n">
        <v>218.3</v>
      </c>
    </row>
    <row r="20">
      <c r="A20" s="30" t="inlineStr">
        <is>
          <t>Multi-Market Combined</t>
        </is>
      </c>
      <c r="B20" s="31" t="n">
        <v>57480</v>
      </c>
      <c r="C20" s="31" t="n">
        <v>74680</v>
      </c>
      <c r="D20" s="31" t="n">
        <v>101288</v>
      </c>
      <c r="E20" s="32" t="n">
        <v>57.5</v>
      </c>
      <c r="F20" s="32" t="n">
        <v>74.7</v>
      </c>
      <c r="G20" s="32" t="n">
        <v>101.3</v>
      </c>
    </row>
    <row r="22">
      <c r="A22" s="6" t="inlineStr">
        <is>
          <t>Table 3: Multi-Market Combined Revenue Projection — EUR/MW/year</t>
        </is>
      </c>
    </row>
    <row r="23">
      <c r="A23" s="3" t="inlineStr">
        <is>
          <t>Year</t>
        </is>
      </c>
      <c r="B23" s="3" t="inlineStr">
        <is>
          <t>1h BESS</t>
        </is>
      </c>
      <c r="C23" s="3" t="inlineStr">
        <is>
          <t>2h BESS</t>
        </is>
      </c>
      <c r="D23" s="3" t="inlineStr">
        <is>
          <t>4h BESS</t>
        </is>
      </c>
      <c r="E23" s="3" t="inlineStr">
        <is>
          <t>Balancing Compression</t>
        </is>
      </c>
      <c r="F23" s="3" t="inlineStr">
        <is>
          <t>DA Compression</t>
        </is>
      </c>
      <c r="G23" s="3" t="inlineStr">
        <is>
          <t>BESS Installed (MW)</t>
        </is>
      </c>
    </row>
    <row r="24">
      <c r="A24" s="24" t="n">
        <v>2025</v>
      </c>
      <c r="B24" s="26" t="n">
        <v>552397</v>
      </c>
      <c r="C24" s="26" t="n">
        <v>571719</v>
      </c>
      <c r="D24" s="26" t="n">
        <v>603225</v>
      </c>
      <c r="E24" s="24" t="inlineStr">
        <is>
          <t>100%</t>
        </is>
      </c>
      <c r="F24" s="24" t="inlineStr">
        <is>
          <t>100%</t>
        </is>
      </c>
      <c r="G24" s="24" t="n">
        <v>454</v>
      </c>
    </row>
    <row r="25">
      <c r="A25" s="24" t="n">
        <v>2026</v>
      </c>
      <c r="B25" s="26" t="n">
        <v>370885</v>
      </c>
      <c r="C25" s="26" t="n">
        <v>387309</v>
      </c>
      <c r="D25" s="26" t="n">
        <v>414089</v>
      </c>
      <c r="E25" s="24" t="inlineStr">
        <is>
          <t>65%</t>
        </is>
      </c>
      <c r="F25" s="24" t="inlineStr">
        <is>
          <t>85%</t>
        </is>
      </c>
      <c r="G25" s="24" t="n">
        <v>700</v>
      </c>
    </row>
    <row r="26">
      <c r="A26" s="24" t="n">
        <v>2027</v>
      </c>
      <c r="B26" s="26" t="n">
        <v>258928</v>
      </c>
      <c r="C26" s="26" t="n">
        <v>272453</v>
      </c>
      <c r="D26" s="26" t="n">
        <v>294507</v>
      </c>
      <c r="E26" s="24" t="inlineStr">
        <is>
          <t>45%</t>
        </is>
      </c>
      <c r="F26" s="24" t="inlineStr">
        <is>
          <t>70%</t>
        </is>
      </c>
      <c r="G26" s="24" t="n">
        <v>1200</v>
      </c>
    </row>
    <row r="27">
      <c r="A27" s="24" t="n">
        <v>2028</v>
      </c>
      <c r="B27" s="26" t="n">
        <v>208506</v>
      </c>
      <c r="C27" s="26" t="n">
        <v>220099</v>
      </c>
      <c r="D27" s="26" t="n">
        <v>239003</v>
      </c>
      <c r="E27" s="24" t="inlineStr">
        <is>
          <t>35%</t>
        </is>
      </c>
      <c r="F27" s="24" t="inlineStr">
        <is>
          <t>60%</t>
        </is>
      </c>
      <c r="G27" s="24" t="n">
        <v>1500</v>
      </c>
    </row>
    <row r="28">
      <c r="A28" s="24" t="n">
        <v>2029</v>
      </c>
      <c r="B28" s="26" t="n">
        <v>183295</v>
      </c>
      <c r="C28" s="26" t="n">
        <v>193922</v>
      </c>
      <c r="D28" s="26" t="n">
        <v>211250</v>
      </c>
      <c r="E28" s="24" t="inlineStr">
        <is>
          <t>30%</t>
        </is>
      </c>
      <c r="F28" s="24" t="inlineStr">
        <is>
          <t>55%</t>
        </is>
      </c>
      <c r="G28" s="24" t="n">
        <v>1800</v>
      </c>
    </row>
    <row r="29">
      <c r="A29" s="24" t="n">
        <v>2030</v>
      </c>
      <c r="B29" s="26" t="n">
        <v>172521</v>
      </c>
      <c r="C29" s="26" t="n">
        <v>182182</v>
      </c>
      <c r="D29" s="26" t="n">
        <v>197935</v>
      </c>
      <c r="E29" s="24" t="inlineStr">
        <is>
          <t>28%</t>
        </is>
      </c>
      <c r="F29" s="24" t="inlineStr">
        <is>
          <t>50%</t>
        </is>
      </c>
      <c r="G29" s="24" t="n">
        <v>2000</v>
      </c>
    </row>
    <row r="48">
      <c r="A48" s="6" t="inlineStr">
        <is>
          <t>Table 4: Revenue Breakdown by Market Segment 2025 — EUR/MW/year</t>
        </is>
      </c>
    </row>
    <row r="49">
      <c r="A49" s="3" t="inlineStr">
        <is>
          <t>Duration</t>
        </is>
      </c>
      <c r="B49" s="3" t="inlineStr">
        <is>
          <t>DA Arbitrage</t>
        </is>
      </c>
      <c r="C49" s="3" t="inlineStr">
        <is>
          <t>aFRR</t>
        </is>
      </c>
      <c r="D49" s="3" t="inlineStr">
        <is>
          <t>FCR</t>
        </is>
      </c>
      <c r="E49" s="3" t="inlineStr">
        <is>
          <t>mFRR</t>
        </is>
      </c>
      <c r="F49" s="3" t="inlineStr">
        <is>
          <t>Imbalance</t>
        </is>
      </c>
      <c r="G49" s="3" t="inlineStr">
        <is>
          <t>Combined</t>
        </is>
      </c>
    </row>
    <row r="50">
      <c r="A50" s="24" t="inlineStr">
        <is>
          <t>1h BESS</t>
        </is>
      </c>
      <c r="B50" s="26" t="n">
        <v>50613</v>
      </c>
      <c r="C50" s="26" t="n">
        <v>545467</v>
      </c>
      <c r="D50" s="26" t="n">
        <v>216810</v>
      </c>
      <c r="E50" s="26" t="n">
        <v>2037634</v>
      </c>
      <c r="F50" s="26" t="n">
        <v>0</v>
      </c>
      <c r="G50" s="31" t="n">
        <v>544284</v>
      </c>
    </row>
    <row r="51">
      <c r="A51" s="24" t="inlineStr">
        <is>
          <t>2h BESS</t>
        </is>
      </c>
      <c r="B51" s="26" t="n">
        <v>93466</v>
      </c>
      <c r="C51" s="26" t="n">
        <v>671344</v>
      </c>
      <c r="D51" s="26" t="n">
        <v>221628</v>
      </c>
      <c r="E51" s="26" t="n">
        <v>2386943</v>
      </c>
      <c r="F51" s="26" t="n">
        <v>0</v>
      </c>
      <c r="G51" s="31" t="n">
        <v>556887</v>
      </c>
    </row>
    <row r="52">
      <c r="A52" s="24" t="inlineStr">
        <is>
          <t>4h BESS</t>
        </is>
      </c>
      <c r="B52" s="26" t="n">
        <v>163707</v>
      </c>
      <c r="C52" s="26" t="n">
        <v>755262</v>
      </c>
      <c r="D52" s="26" t="n">
        <v>228855</v>
      </c>
      <c r="E52" s="26" t="n">
        <v>2619815</v>
      </c>
      <c r="F52" s="26" t="n">
        <v>0</v>
      </c>
      <c r="G52" s="31" t="n">
        <v>577546</v>
      </c>
    </row>
    <row r="71">
      <c r="A71" s="6" t="inlineStr">
        <is>
          <t>Baltic Market Intelligence (LinkedIn Sources)</t>
        </is>
      </c>
    </row>
    <row r="72">
      <c r="A72" s="3" t="inlineStr">
        <is>
          <t>Source</t>
        </is>
      </c>
      <c r="B72" s="3" t="inlineStr">
        <is>
          <t>Date</t>
        </is>
      </c>
      <c r="C72" s="3" t="inlineStr">
        <is>
          <t>Key Insight</t>
        </is>
      </c>
    </row>
    <row r="73">
      <c r="A73" s="33" t="inlineStr">
        <is>
          <t>Balancing Services OÜ</t>
        </is>
      </c>
      <c r="B73" s="24" t="inlineStr">
        <is>
          <t>Feb 5, 2025</t>
        </is>
      </c>
      <c r="C73" s="33" t="inlineStr">
        <is>
          <t>Baltic balancing capacity procurement launched. Latvia: mFRR UP 55 MW, mFRR DOWN 55 MW, FCR 29 MW. Lithuania joined for mFRR DOWN 440 MW. FCR price hit €145/MW/h — one of the highest in Europe. mFRR DOWN: €20–30/MW/h. Peak mFRR UP: €65/MW/h (Latvia) vs €0.7/MW/h (Lithuania) showing extreme early-market volatility.</t>
        </is>
      </c>
    </row>
    <row r="74">
      <c r="A74" s="33" t="inlineStr">
        <is>
          <t>Fusebox Energy</t>
        </is>
      </c>
      <c r="B74" s="24" t="inlineStr">
        <is>
          <t>Mar 2025</t>
        </is>
      </c>
      <c r="C74" s="33" t="inlineStr">
        <is>
          <t>Baltic frequency reserves showed extreme price swings from €9,976/MWh to -€4,473/MWh. A single small Latvian bidder caused market distortions. Regulators investigating potential manipulation. Highlights need for more storage capacity and market design reform.</t>
        </is>
      </c>
    </row>
    <row r="75">
      <c r="A75" s="33" t="inlineStr">
        <is>
          <t>Energy Lead</t>
        </is>
      </c>
      <c r="B75" s="24" t="inlineStr">
        <is>
          <t>Aug 6, 2025</t>
        </is>
      </c>
      <c r="C75" s="33" t="inlineStr">
        <is>
          <t>Nord Pool day-ahead prices hit -€3.06/MWh across all three Baltic states. Ancillary services saw -€11,999/MWh in Latvia and Lithuania — unprecedented volatility showing extreme market dynamics.</t>
        </is>
      </c>
    </row>
    <row r="76">
      <c r="A76" s="33" t="inlineStr">
        <is>
          <t>Danny Zaitsev (Zada)</t>
        </is>
      </c>
      <c r="B76" s="24" t="inlineStr">
        <is>
          <t>Jun 2025</t>
        </is>
      </c>
      <c r="C76" s="33" t="inlineStr">
        <is>
          <t>Baltic region remains an "energy island" with prices disconnected from Europe. "A battery doing simple DA trading will be earning in excess of EUR 800/MW." Lithuania approved 4 GWh of battery storage. Opportunity "won't last forever — once new storage is built, prices will settle down."</t>
        </is>
      </c>
    </row>
    <row r="77">
      <c r="A77" s="33" t="inlineStr">
        <is>
          <t>Elektrum Eesti</t>
        </is>
      </c>
      <c r="B77" s="24" t="inlineStr">
        <is>
          <t>Feb 2025</t>
        </is>
      </c>
      <c r="C77" s="33" t="inlineStr">
        <is>
          <t>Estlink 2 cable failure caused 65–71% Baltic electricity price surge. Estonia local production covered only 64% of consumption. Demonstrates BESS upside from interconnection failures driving scarcity pricing.</t>
        </is>
      </c>
    </row>
    <row r="78">
      <c r="A78" s="33" t="inlineStr">
        <is>
          <t>Litgrid</t>
        </is>
      </c>
      <c r="B78" s="24" t="inlineStr">
        <is>
          <t>Jun 2025</t>
        </is>
      </c>
      <c r="C78" s="33" t="inlineStr">
        <is>
          <t>Lithuania's first commercial BESS connected: 53.6 MW / 107.3 MWh by UAB Vėjo Galia in Kaišiadorys district. Total Lithuania BESS: 453.9 MW / 461.5 MWh. At least 9 more storage projects planned for next year.</t>
        </is>
      </c>
    </row>
    <row r="79">
      <c r="A79" s="33" t="inlineStr">
        <is>
          <t>Estonian Consumer Impact</t>
        </is>
      </c>
      <c r="B79" s="24" t="inlineStr">
        <is>
          <t>Jan 2026</t>
        </is>
      </c>
      <c r="C79" s="33" t="inlineStr">
        <is>
          <t>Post-BRELL disconnection costs: Estonian consumers now pay €3.70/MWh reserve capacity fee plus ~€2/month "quiet sleep tax". Demonstrates structural cost of energy independence creating sustained revenue pool for flexibility providers.</t>
        </is>
      </c>
    </row>
    <row r="80">
      <c r="A80" s="33" t="inlineStr">
        <is>
          <t>VPPA/Spread Analysis</t>
        </is>
      </c>
      <c r="B80" s="24" t="inlineStr">
        <is>
          <t>2025</t>
        </is>
      </c>
      <c r="C80" s="33" t="inlineStr">
        <is>
          <t>Baltic States daily DA price spread: €177 (comparable to Austria €187–222). Analysis of 20 million ENTSO-E rows across 38 European regions confirms Baltic grid decoupling driving flexibility demand. Volatility is "fuel for battery profits."</t>
        </is>
      </c>
    </row>
    <row r="81">
      <c r="A81" s="33" t="inlineStr">
        <is>
          <t>Grid Disconnection</t>
        </is>
      </c>
      <c r="B81" s="24" t="inlineStr">
        <is>
          <t>Feb 7–9, 2025</t>
        </is>
      </c>
      <c r="C81" s="33" t="inlineStr">
        <is>
          <t>Estonia, Latvia, Lithuania disconnected from Russian BRELL grid and joined Continental European Network. Total project cost: €1.2 billion (75% EU funded). TSOs deployed synchronous condensers and BESS for frequency management.</t>
        </is>
      </c>
    </row>
    <row r="83">
      <c r="A83" s="6" t="inlineStr">
        <is>
          <t>Methodology &amp; Assumptions</t>
        </is>
      </c>
    </row>
    <row r="84">
      <c r="A84" s="2" t="inlineStr">
        <is>
          <t>DA Arbitrage: Perfect-foresight upper bound (buy N cheapest, sell N most expensive hours/day) × 85% capture rate.</t>
        </is>
      </c>
    </row>
    <row r="85">
      <c r="A85" s="2" t="inlineStr">
        <is>
          <t>Round-trip efficiency: 88%. Accounts for charge/discharge losses in Li-ion BESS.</t>
        </is>
      </c>
    </row>
    <row r="86">
      <c r="A86" s="2" t="inlineStr">
        <is>
          <t>aFRR: ENTSO-E contracted reserve prices (process type A47). Prices per MW per 15-min ISP. BESS alternates Up/Down.</t>
        </is>
      </c>
    </row>
    <row r="87">
      <c r="A87" s="2" t="inlineStr">
        <is>
          <t>aFRR availability by duration: 1h=65%, 2h=80%, 4h=90% (SoC constraints).</t>
        </is>
      </c>
    </row>
    <row r="88">
      <c r="A88" s="2" t="inlineStr">
        <is>
          <t>FCR: Estimated from Baltic market data (launched Feb 2025). No ENTSO-E data available for Lithuania FCR.</t>
        </is>
      </c>
    </row>
    <row r="89">
      <c r="A89" s="2" t="inlineStr">
        <is>
          <t>FCR price estimate 2025: €30/MW/h average. First-day clearing: €145/MW/h (LinkedIn source).</t>
        </is>
      </c>
    </row>
    <row r="90">
      <c r="A90" s="2" t="inlineStr">
        <is>
          <t>mFRR: ENTSO-E process type A51. Lower volumes than aFRR. Sporadic procurement.</t>
        </is>
      </c>
    </row>
    <row r="91">
      <c r="A91" s="2" t="inlineStr">
        <is>
          <t>Imbalance: |Imbalance price - DA price| spread captured during best N hours/day. Data through Sep 2024.</t>
        </is>
      </c>
    </row>
    <row r="92">
      <c r="A92" s="2" t="inlineStr">
        <is>
          <t>Multi-Market Combined: Weighted time allocation across markets (aFRR 40%, FCR 20%, DA 25%, mFRR 5%, Imbalance 10%).</t>
        </is>
      </c>
    </row>
    <row r="93">
      <c r="A93" s="2" t="inlineStr">
        <is>
          <t>Forward projections apply revenue compression from BESS saturation: 454 MW (2025) → 2,000+ MW (2030).</t>
        </is>
      </c>
    </row>
    <row r="94">
      <c r="A94" s="2" t="inlineStr">
        <is>
          <t>2025 revenues reflect extraordinary post-BRELL disconnection conditions. NOT sustainable long-term.</t>
        </is>
      </c>
    </row>
    <row r="95">
      <c r="A95" s="2" t="inlineStr">
        <is>
          <t>aFRR revenues are exceptionally high due to scarcity; expect 55-70% decline by 2027 as capacity enters.</t>
        </is>
      </c>
    </row>
    <row r="96">
      <c r="A96" s="2" t="inlineStr">
        <is>
          <t>All figures are gross revenue before opex, degradation, and financing costs.</t>
        </is>
      </c>
    </row>
  </sheetData>
  <mergeCells count="15">
    <mergeCell ref="A84:G84"/>
    <mergeCell ref="A93:G93"/>
    <mergeCell ref="A89:G89"/>
    <mergeCell ref="A1:G1"/>
    <mergeCell ref="A88:G88"/>
    <mergeCell ref="A94:G94"/>
    <mergeCell ref="A91:G91"/>
    <mergeCell ref="A87:G87"/>
    <mergeCell ref="A92:G92"/>
    <mergeCell ref="A95:G95"/>
    <mergeCell ref="A2:G2"/>
    <mergeCell ref="A86:G86"/>
    <mergeCell ref="A96:G96"/>
    <mergeCell ref="A90:G90"/>
    <mergeCell ref="A85:G8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3" customWidth="1" min="3" max="3"/>
    <col width="23" customWidth="1" min="4" max="4"/>
    <col width="35" customWidth="1" min="5" max="5"/>
    <col width="24" customWidth="1" min="6" max="6"/>
    <col width="16" customWidth="1" min="7" max="7"/>
    <col width="45" customWidth="1" min="8" max="8"/>
  </cols>
  <sheetData>
    <row r="1">
      <c r="A1" s="1" t="inlineStr">
        <is>
          <t>Lithuania BESS Pipeline &amp; Market Saturation Analysis</t>
        </is>
      </c>
    </row>
    <row r="2">
      <c r="A2" s="2" t="inlineStr">
        <is>
          <t>Pipeline: 1.7 GW / 4.0 GWh | 50+ applications | EUR 840M+ total value | 14.7% state subsidy</t>
        </is>
      </c>
    </row>
    <row r="3"/>
    <row r="4">
      <c r="A4" s="6" t="inlineStr">
        <is>
          <t>Pipeline Overview</t>
        </is>
      </c>
    </row>
    <row r="5">
      <c r="A5" s="18" t="inlineStr">
        <is>
          <t>Total Pipeline Power</t>
        </is>
      </c>
      <c r="B5" s="16" t="inlineStr">
        <is>
          <t>1,700 MW</t>
        </is>
      </c>
    </row>
    <row r="6">
      <c r="A6" s="18" t="inlineStr">
        <is>
          <t>Total Pipeline Energy</t>
        </is>
      </c>
      <c r="B6" s="16" t="inlineStr">
        <is>
          <t>4,000 MWh</t>
        </is>
      </c>
    </row>
    <row r="7">
      <c r="A7" s="18" t="inlineStr">
        <is>
          <t>Average Duration</t>
        </is>
      </c>
      <c r="B7" s="16" t="inlineStr">
        <is>
          <t>2.4 hours</t>
        </is>
      </c>
    </row>
    <row r="8">
      <c r="A8" s="18" t="inlineStr">
        <is>
          <t>Number of Applications</t>
        </is>
      </c>
      <c r="B8" s="16" t="inlineStr">
        <is>
          <t>50+</t>
        </is>
      </c>
    </row>
    <row r="9">
      <c r="A9" s="18" t="inlineStr">
        <is>
          <t>Total Project Value</t>
        </is>
      </c>
      <c r="B9" s="16" t="inlineStr">
        <is>
          <t>EUR 840M+</t>
        </is>
      </c>
    </row>
    <row r="10">
      <c r="A10" s="18" t="inlineStr">
        <is>
          <t>State Subsidy (average)</t>
        </is>
      </c>
      <c r="B10" s="16" t="inlineStr">
        <is>
          <t>14.7% of costs</t>
        </is>
      </c>
    </row>
    <row r="11">
      <c r="A11" s="18" t="inlineStr">
        <is>
          <t>Max per Facility</t>
        </is>
      </c>
      <c r="B11" s="16" t="inlineStr">
        <is>
          <t>300 MWh</t>
        </is>
      </c>
    </row>
    <row r="12">
      <c r="A12" s="18" t="inlineStr">
        <is>
          <t>Currently Installed</t>
        </is>
      </c>
      <c r="B12" s="16" t="inlineStr">
        <is>
          <t>454 MW / 462 MWh</t>
        </is>
      </c>
    </row>
    <row r="13">
      <c r="A13" s="16" t="inlineStr"/>
      <c r="B13" s="16" t="inlineStr"/>
    </row>
    <row r="14">
      <c r="A14" s="18" t="inlineStr">
        <is>
          <t>Key Entities</t>
        </is>
      </c>
      <c r="B14" s="16" t="inlineStr"/>
    </row>
    <row r="15">
      <c r="A15" s="18" t="inlineStr">
        <is>
          <t>Ministry of Energy</t>
        </is>
      </c>
      <c r="B15" s="16" t="inlineStr">
        <is>
          <t>Policy &amp; procurement framework</t>
        </is>
      </c>
    </row>
    <row r="16">
      <c r="A16" s="18" t="inlineStr">
        <is>
          <t>EPMA</t>
        </is>
      </c>
      <c r="B16" s="16" t="inlineStr">
        <is>
          <t>Environmental Project Management Agency</t>
        </is>
      </c>
    </row>
    <row r="17">
      <c r="A17" s="18" t="inlineStr">
        <is>
          <t>Litgrid (TSO)</t>
        </is>
      </c>
      <c r="B17" s="16" t="inlineStr">
        <is>
          <t>200 MW operational + grid integration</t>
        </is>
      </c>
    </row>
    <row r="18">
      <c r="A18" s="18" t="inlineStr">
        <is>
          <t>Ignitis Group</t>
        </is>
      </c>
      <c r="B18" s="16" t="inlineStr">
        <is>
          <t>EUR 130M BESS investment</t>
        </is>
      </c>
    </row>
    <row r="19">
      <c r="A19" s="18" t="inlineStr">
        <is>
          <t>E Energija Group</t>
        </is>
      </c>
      <c r="B19" s="16" t="inlineStr">
        <is>
          <t>Under construction</t>
        </is>
      </c>
    </row>
    <row r="20">
      <c r="A20" s="18" t="inlineStr">
        <is>
          <t>European Energy</t>
        </is>
      </c>
      <c r="B20" s="16" t="inlineStr">
        <is>
          <t>25 MW / 65 MWh completed Jan 2026 (Anykščiai)</t>
        </is>
      </c>
    </row>
    <row r="21">
      <c r="A21" s="18" t="inlineStr">
        <is>
          <t>UAB Vėjo Galia</t>
        </is>
      </c>
      <c r="B21" s="16" t="inlineStr">
        <is>
          <t>53.6 MW / 107.3 MWh operational (Kaišiadorys)</t>
        </is>
      </c>
    </row>
    <row r="22">
      <c r="A22" s="18" t="inlineStr">
        <is>
          <t>Fluence</t>
        </is>
      </c>
      <c r="B22" s="16" t="inlineStr">
        <is>
          <t>System integrator with Litgrid</t>
        </is>
      </c>
    </row>
    <row r="23">
      <c r="A23" s="18" t="inlineStr">
        <is>
          <t>UAB Karjerų Linija</t>
        </is>
      </c>
      <c r="B23" s="16" t="inlineStr">
        <is>
          <t>Investment Jul 2025</t>
        </is>
      </c>
    </row>
    <row r="24"/>
    <row r="25">
      <c r="A25" s="6" t="inlineStr">
        <is>
          <t>Market Size vs Pipeline</t>
        </is>
      </c>
    </row>
    <row r="26">
      <c r="A26" s="3" t="inlineStr">
        <is>
          <t>Market Segment</t>
        </is>
      </c>
      <c r="B26" s="3" t="inlineStr">
        <is>
          <t>Actual (MW)</t>
        </is>
      </c>
      <c r="C26" s="3" t="inlineStr">
        <is>
          <t>Pipeline as Multiple</t>
        </is>
      </c>
      <c r="D26" s="3" t="inlineStr">
        <is>
          <t>Saturation Level</t>
        </is>
      </c>
      <c r="E26" s="3" t="inlineStr">
        <is>
          <t>Implication</t>
        </is>
      </c>
    </row>
    <row r="27">
      <c r="A27" s="28" t="inlineStr">
        <is>
          <t>aFRR Up Capacity</t>
        </is>
      </c>
      <c r="B27" s="24" t="inlineStr">
        <is>
          <t>410</t>
        </is>
      </c>
      <c r="C27" s="24" t="inlineStr">
        <is>
          <t>4.1x</t>
        </is>
      </c>
      <c r="D27" s="34" t="inlineStr">
        <is>
          <t>Oversupplied</t>
        </is>
      </c>
      <c r="E27" s="28" t="inlineStr">
        <is>
          <t>Revenue compression 2027+</t>
        </is>
      </c>
    </row>
    <row r="28">
      <c r="A28" s="28" t="inlineStr">
        <is>
          <t>aFRR Down Capacity</t>
        </is>
      </c>
      <c r="B28" s="24" t="inlineStr">
        <is>
          <t>354</t>
        </is>
      </c>
      <c r="C28" s="24" t="inlineStr">
        <is>
          <t>4.8x</t>
        </is>
      </c>
      <c r="D28" s="34" t="inlineStr">
        <is>
          <t>Oversupplied</t>
        </is>
      </c>
      <c r="E28" s="28" t="inlineStr">
        <is>
          <t>Revenue compression 2027+</t>
        </is>
      </c>
    </row>
    <row r="29">
      <c r="A29" s="28" t="inlineStr">
        <is>
          <t>mFRR Up + Down</t>
        </is>
      </c>
      <c r="B29" s="24" t="inlineStr">
        <is>
          <t>72</t>
        </is>
      </c>
      <c r="C29" s="24" t="inlineStr">
        <is>
          <t>23.6x</t>
        </is>
      </c>
      <c r="D29" s="35" t="inlineStr">
        <is>
          <t>Heavily oversupplied</t>
        </is>
      </c>
      <c r="E29" s="28" t="inlineStr">
        <is>
          <t>Sporadic revenue only</t>
        </is>
      </c>
    </row>
    <row r="30">
      <c r="A30" s="28" t="inlineStr">
        <is>
          <t>FCR (estimated)</t>
        </is>
      </c>
      <c r="B30" s="24" t="inlineStr">
        <is>
          <t>40</t>
        </is>
      </c>
      <c r="C30" s="24" t="inlineStr">
        <is>
          <t>42x</t>
        </is>
      </c>
      <c r="D30" s="35" t="inlineStr">
        <is>
          <t>Heavily oversupplied</t>
        </is>
      </c>
      <c r="E30" s="28" t="inlineStr">
        <is>
          <t>Small market segment</t>
        </is>
      </c>
    </row>
    <row r="31">
      <c r="A31" s="28" t="inlineStr">
        <is>
          <t>Total Balancing</t>
        </is>
      </c>
      <c r="B31" s="24" t="inlineStr">
        <is>
          <t>876</t>
        </is>
      </c>
      <c r="C31" s="24" t="inlineStr">
        <is>
          <t>1.9x</t>
        </is>
      </c>
      <c r="D31" s="34" t="inlineStr">
        <is>
          <t>Oversupplied</t>
        </is>
      </c>
      <c r="E31" s="28" t="inlineStr">
        <is>
          <t>Balancing cannot absorb full pipeline</t>
        </is>
      </c>
    </row>
    <row r="32">
      <c r="A32" s="28" t="inlineStr">
        <is>
          <t>Peak Load</t>
        </is>
      </c>
      <c r="B32" s="24" t="inlineStr">
        <is>
          <t>2100</t>
        </is>
      </c>
      <c r="C32" s="24" t="inlineStr">
        <is>
          <t>0.8x</t>
        </is>
      </c>
      <c r="D32" s="35" t="inlineStr">
        <is>
          <t>High penetration</t>
        </is>
      </c>
      <c r="E32" s="28" t="inlineStr">
        <is>
          <t>DA arbitrage structurally viable</t>
        </is>
      </c>
    </row>
    <row r="33"/>
    <row r="34">
      <c r="A34" s="6" t="inlineStr">
        <is>
          <t>BESS Build-Out Scenarios (Installed MW)</t>
        </is>
      </c>
    </row>
    <row r="35">
      <c r="A35" s="3" t="inlineStr">
        <is>
          <t>Year</t>
        </is>
      </c>
      <c r="B35" s="3" t="inlineStr">
        <is>
          <t>High</t>
        </is>
      </c>
      <c r="C35" s="3" t="inlineStr">
        <is>
          <t>Base</t>
        </is>
      </c>
      <c r="D35" s="3" t="inlineStr">
        <is>
          <t>Low</t>
        </is>
      </c>
      <c r="E35" s="3" t="inlineStr">
        <is>
          <t>High % aFRR Up</t>
        </is>
      </c>
      <c r="F35" s="3" t="inlineStr">
        <is>
          <t>Base % aFRR Up</t>
        </is>
      </c>
      <c r="G35" s="3" t="inlineStr">
        <is>
          <t>Low % aFRR Up</t>
        </is>
      </c>
      <c r="H35" s="3" t="inlineStr">
        <is>
          <t>aFRR Up Req. (MW)</t>
        </is>
      </c>
    </row>
    <row r="36">
      <c r="A36" s="24" t="n">
        <v>2025</v>
      </c>
      <c r="B36" s="26" t="n">
        <v>454</v>
      </c>
      <c r="C36" s="26" t="n">
        <v>454</v>
      </c>
      <c r="D36" s="26" t="n">
        <v>454</v>
      </c>
      <c r="E36" s="35" t="inlineStr">
        <is>
          <t>111%</t>
        </is>
      </c>
      <c r="F36" s="35" t="inlineStr">
        <is>
          <t>111%</t>
        </is>
      </c>
      <c r="G36" s="35" t="inlineStr">
        <is>
          <t>111%</t>
        </is>
      </c>
      <c r="H36" s="24" t="n">
        <v>410</v>
      </c>
    </row>
    <row r="37">
      <c r="A37" s="24" t="n">
        <v>2026</v>
      </c>
      <c r="B37" s="26" t="n">
        <v>800</v>
      </c>
      <c r="C37" s="26" t="n">
        <v>650</v>
      </c>
      <c r="D37" s="26" t="n">
        <v>550</v>
      </c>
      <c r="E37" s="35" t="inlineStr">
        <is>
          <t>195%</t>
        </is>
      </c>
      <c r="F37" s="35" t="inlineStr">
        <is>
          <t>159%</t>
        </is>
      </c>
      <c r="G37" s="35" t="inlineStr">
        <is>
          <t>134%</t>
        </is>
      </c>
      <c r="H37" s="24" t="n">
        <v>410</v>
      </c>
    </row>
    <row r="38">
      <c r="A38" s="24" t="n">
        <v>2027</v>
      </c>
      <c r="B38" s="26" t="n">
        <v>1200</v>
      </c>
      <c r="C38" s="26" t="n">
        <v>950</v>
      </c>
      <c r="D38" s="26" t="n">
        <v>700</v>
      </c>
      <c r="E38" s="34" t="inlineStr">
        <is>
          <t>293%</t>
        </is>
      </c>
      <c r="F38" s="34" t="inlineStr">
        <is>
          <t>232%</t>
        </is>
      </c>
      <c r="G38" s="35" t="inlineStr">
        <is>
          <t>171%</t>
        </is>
      </c>
      <c r="H38" s="24" t="n">
        <v>410</v>
      </c>
    </row>
    <row r="39">
      <c r="A39" s="24" t="n">
        <v>2028</v>
      </c>
      <c r="B39" s="26" t="n">
        <v>1500</v>
      </c>
      <c r="C39" s="26" t="n">
        <v>1200</v>
      </c>
      <c r="D39" s="26" t="n">
        <v>850</v>
      </c>
      <c r="E39" s="34" t="inlineStr">
        <is>
          <t>366%</t>
        </is>
      </c>
      <c r="F39" s="34" t="inlineStr">
        <is>
          <t>293%</t>
        </is>
      </c>
      <c r="G39" s="34" t="inlineStr">
        <is>
          <t>207%</t>
        </is>
      </c>
      <c r="H39" s="24" t="n">
        <v>410</v>
      </c>
    </row>
    <row r="40">
      <c r="A40" s="24" t="n">
        <v>2029</v>
      </c>
      <c r="B40" s="26" t="n">
        <v>1700</v>
      </c>
      <c r="C40" s="26" t="n">
        <v>1400</v>
      </c>
      <c r="D40" s="26" t="n">
        <v>1000</v>
      </c>
      <c r="E40" s="34" t="inlineStr">
        <is>
          <t>415%</t>
        </is>
      </c>
      <c r="F40" s="34" t="inlineStr">
        <is>
          <t>342%</t>
        </is>
      </c>
      <c r="G40" s="34" t="inlineStr">
        <is>
          <t>244%</t>
        </is>
      </c>
      <c r="H40" s="24" t="n">
        <v>410</v>
      </c>
    </row>
    <row r="41">
      <c r="A41" s="24" t="n">
        <v>2030</v>
      </c>
      <c r="B41" s="26" t="n">
        <v>1700</v>
      </c>
      <c r="C41" s="26" t="n">
        <v>1500</v>
      </c>
      <c r="D41" s="26" t="n">
        <v>1100</v>
      </c>
      <c r="E41" s="34" t="inlineStr">
        <is>
          <t>415%</t>
        </is>
      </c>
      <c r="F41" s="34" t="inlineStr">
        <is>
          <t>366%</t>
        </is>
      </c>
      <c r="G41" s="34" t="inlineStr">
        <is>
          <t>268%</t>
        </is>
      </c>
      <c r="H41" s="24" t="n">
        <v>410</v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>
      <c r="A60" s="6" t="inlineStr">
        <is>
          <t>Known BESS Projects</t>
        </is>
      </c>
    </row>
    <row r="61">
      <c r="A61" s="3" t="inlineStr">
        <is>
          <t>Developer</t>
        </is>
      </c>
      <c r="B61" s="3" t="inlineStr">
        <is>
          <t>MW</t>
        </is>
      </c>
      <c r="C61" s="3" t="inlineStr">
        <is>
          <t>MWh</t>
        </is>
      </c>
      <c r="D61" s="3" t="inlineStr">
        <is>
          <t>Duration (h)</t>
        </is>
      </c>
      <c r="E61" s="3" t="inlineStr">
        <is>
          <t>Location</t>
        </is>
      </c>
      <c r="F61" s="3" t="inlineStr">
        <is>
          <t>Status</t>
        </is>
      </c>
      <c r="G61" s="3" t="inlineStr">
        <is>
          <t>Year</t>
        </is>
      </c>
      <c r="H61" s="3" t="inlineStr">
        <is>
          <t>Source</t>
        </is>
      </c>
    </row>
    <row r="62">
      <c r="A62" s="28" t="inlineStr">
        <is>
          <t>UAB Vėjo Galia</t>
        </is>
      </c>
      <c r="B62" s="26" t="n">
        <v>53.6</v>
      </c>
      <c r="C62" s="26" t="n">
        <v>107.3</v>
      </c>
      <c r="D62" s="36" t="n">
        <v>2</v>
      </c>
      <c r="E62" s="24" t="inlineStr">
        <is>
          <t>Kaišiadorys</t>
        </is>
      </c>
      <c r="F62" s="24" t="inlineStr">
        <is>
          <t>Operational</t>
        </is>
      </c>
      <c r="G62" s="24" t="n">
        <v>2025</v>
      </c>
      <c r="H62" s="33" t="inlineStr">
        <is>
          <t>Litgrid (first commercial BESS on transmission grid)</t>
        </is>
      </c>
    </row>
    <row r="63">
      <c r="A63" s="28" t="inlineStr">
        <is>
          <t>European Energy</t>
        </is>
      </c>
      <c r="B63" s="26" t="n">
        <v>25</v>
      </c>
      <c r="C63" s="26" t="n">
        <v>65</v>
      </c>
      <c r="D63" s="36" t="n">
        <v>2.6</v>
      </c>
      <c r="E63" s="24" t="inlineStr">
        <is>
          <t>Anykščiai</t>
        </is>
      </c>
      <c r="F63" s="24" t="inlineStr">
        <is>
          <t>Construction complete</t>
        </is>
      </c>
      <c r="G63" s="24" t="n">
        <v>2026</v>
      </c>
      <c r="H63" s="33" t="inlineStr">
        <is>
          <t>LinkedIn Jan 2026</t>
        </is>
      </c>
    </row>
    <row r="64">
      <c r="A64" s="28" t="inlineStr">
        <is>
          <t>Litgrid (TSO-owned)</t>
        </is>
      </c>
      <c r="B64" s="26" t="n">
        <v>200</v>
      </c>
      <c r="C64" s="26" t="n">
        <v>200</v>
      </c>
      <c r="D64" s="36" t="n">
        <v>1</v>
      </c>
      <c r="E64" s="24" t="inlineStr">
        <is>
          <t>Various</t>
        </is>
      </c>
      <c r="F64" s="24" t="inlineStr">
        <is>
          <t>Operational</t>
        </is>
      </c>
      <c r="G64" s="24" t="n">
        <v>2024</v>
      </c>
      <c r="H64" s="33" t="inlineStr">
        <is>
          <t>First large-capacity facility, 2020 commissioned</t>
        </is>
      </c>
    </row>
    <row r="65">
      <c r="A65" s="28" t="inlineStr">
        <is>
          <t>Ignitis Group</t>
        </is>
      </c>
      <c r="B65" s="26" t="n">
        <v>130</v>
      </c>
      <c r="C65" s="26" t="n">
        <v>260</v>
      </c>
      <c r="D65" s="36" t="n">
        <v>2</v>
      </c>
      <c r="E65" s="24" t="inlineStr">
        <is>
          <t>TBD</t>
        </is>
      </c>
      <c r="F65" s="24" t="inlineStr">
        <is>
          <t>Development</t>
        </is>
      </c>
      <c r="G65" s="24" t="n">
        <v>2026</v>
      </c>
      <c r="H65" s="33" t="inlineStr">
        <is>
          <t>EUR 130M investment announced</t>
        </is>
      </c>
    </row>
    <row r="66">
      <c r="A66" s="28" t="inlineStr">
        <is>
          <t>E Energija Group</t>
        </is>
      </c>
      <c r="B66" s="26" t="n">
        <v>100</v>
      </c>
      <c r="C66" s="26" t="n">
        <v>200</v>
      </c>
      <c r="D66" s="36" t="n">
        <v>2</v>
      </c>
      <c r="E66" s="24" t="inlineStr">
        <is>
          <t>TBD</t>
        </is>
      </c>
      <c r="F66" s="24" t="inlineStr">
        <is>
          <t>Under construction</t>
        </is>
      </c>
      <c r="G66" s="24" t="n">
        <v>2026</v>
      </c>
      <c r="H66" s="33" t="inlineStr">
        <is>
          <t>LinkedIn (construction underway)</t>
        </is>
      </c>
    </row>
    <row r="67">
      <c r="A67" s="28" t="inlineStr">
        <is>
          <t>Fluence / Litgrid</t>
        </is>
      </c>
      <c r="B67" s="26" t="n">
        <v>50</v>
      </c>
      <c r="C67" s="26" t="n">
        <v>100</v>
      </c>
      <c r="D67" s="36" t="n">
        <v>2</v>
      </c>
      <c r="E67" s="24" t="inlineStr">
        <is>
          <t>TBD</t>
        </is>
      </c>
      <c r="F67" s="24" t="inlineStr">
        <is>
          <t>Integration</t>
        </is>
      </c>
      <c r="G67" s="24" t="n">
        <v>2025</v>
      </c>
      <c r="H67" s="33" t="inlineStr">
        <is>
          <t>System integrator collaboration</t>
        </is>
      </c>
    </row>
    <row r="68"/>
    <row r="69">
      <c r="A69" s="6" t="inlineStr">
        <is>
          <t>Pipeline Conversion Analysis</t>
        </is>
      </c>
    </row>
    <row r="70">
      <c r="A70" s="2" t="inlineStr">
        <is>
          <t>Pipeline: 1.7 GW / 4.0 GWh across 50+ applications (EUR 840M+, avg 14.7% state subsidy).</t>
        </is>
      </c>
    </row>
    <row r="71">
      <c r="A71" s="2" t="inlineStr">
        <is>
          <t>Connection rights ≠ built projects. In mature EU markets, 20-40% conversion from application to FID.</t>
        </is>
      </c>
    </row>
    <row r="72">
      <c r="A72" s="2" t="inlineStr">
        <is>
          <t>At 30% conversion: ~510 MW new capacity → total ~960 MW by 2028.</t>
        </is>
      </c>
    </row>
    <row r="73">
      <c r="A73" s="2" t="inlineStr">
        <is>
          <t>At 60% conversion: ~1,020 MW new capacity → total ~1,470 MW by 2029.</t>
        </is>
      </c>
    </row>
    <row r="74">
      <c r="A74" s="2" t="inlineStr">
        <is>
          <t>At 90% conversion: ~1,530 MW new → total ~1,980 MW by 2030 (if grid &amp; supply chain allow).</t>
        </is>
      </c>
    </row>
    <row r="75">
      <c r="A75" s="2" t="inlineStr">
        <is>
          <t>Limiting factors: grid connection capacity, transformer availability, LFP cell supply chain, financing.</t>
        </is>
      </c>
    </row>
    <row r="76">
      <c r="A76" s="2" t="inlineStr">
        <is>
          <t>State subsidy (14.7% avg) de-risks projects but initial funding was doubled (demand &gt;&gt; budget).</t>
        </is>
      </c>
    </row>
    <row r="77">
      <c r="A77" s="2" t="inlineStr">
        <is>
          <t>Max 300 MWh per facility limits concentration risk but increases grid connection complexity.</t>
        </is>
      </c>
    </row>
    <row r="78">
      <c r="A78" s="2" t="inlineStr">
        <is>
          <t>European Energy (25 MW/65 MWh) Anykščiai project completed Jan 2026 — ~2.6h duration, portfolio approach.</t>
        </is>
      </c>
    </row>
    <row r="79">
      <c r="A79" s="2" t="inlineStr">
        <is>
          <t>First-mover advantage: projects online 2025-2026 earn extraordinary returns before saturation.</t>
        </is>
      </c>
    </row>
  </sheetData>
  <mergeCells count="12">
    <mergeCell ref="A70:H70"/>
    <mergeCell ref="A78:H78"/>
    <mergeCell ref="A77:H77"/>
    <mergeCell ref="A73:H73"/>
    <mergeCell ref="A71:H71"/>
    <mergeCell ref="A2:H2"/>
    <mergeCell ref="A72:H72"/>
    <mergeCell ref="A76:H76"/>
    <mergeCell ref="A1:H1"/>
    <mergeCell ref="A75:H75"/>
    <mergeCell ref="A79:H79"/>
    <mergeCell ref="A74:H7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8" customWidth="1" min="3" max="3"/>
    <col width="15" customWidth="1" min="4" max="4"/>
    <col width="16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6" customWidth="1" min="11" max="11"/>
    <col width="21" customWidth="1" min="12" max="12"/>
  </cols>
  <sheetData>
    <row r="1">
      <c r="A1" s="1" t="inlineStr">
        <is>
          <t>Lithuania - Installed Capacity by Technology (MW)</t>
        </is>
      </c>
    </row>
    <row r="2">
      <c r="A2" s="2" t="inlineStr">
        <is>
          <t>Historical (2021-2025) &amp; Forecast (2026-2031) | Sources: IRENA, LVEA, Litgrid, PV Magazine, IEA, NECP</t>
        </is>
      </c>
    </row>
    <row r="4">
      <c r="A4" s="3" t="inlineStr">
        <is>
          <t>Year</t>
        </is>
      </c>
      <c r="B4" s="3" t="inlineStr">
        <is>
          <t>Wind
Cumul (MW)</t>
        </is>
      </c>
      <c r="C4" s="3" t="inlineStr">
        <is>
          <t>Wind
Annual (MW)</t>
        </is>
      </c>
      <c r="D4" s="3" t="inlineStr">
        <is>
          <t>PV
Cumul (MW)</t>
        </is>
      </c>
      <c r="E4" s="3" t="inlineStr">
        <is>
          <t>PV
Annual (MW)</t>
        </is>
      </c>
      <c r="F4" s="3" t="inlineStr">
        <is>
          <t>BESS Power
Cumul (MW)</t>
        </is>
      </c>
      <c r="G4" s="3" t="inlineStr">
        <is>
          <t>BESS Power
Annual (MW)</t>
        </is>
      </c>
      <c r="H4" s="3" t="inlineStr">
        <is>
          <t>BESS Energy
Cumul (MWh)</t>
        </is>
      </c>
      <c r="I4" s="3" t="inlineStr">
        <is>
          <t>BESS Energy
Annual (MWh)</t>
        </is>
      </c>
      <c r="J4" s="3" t="inlineStr">
        <is>
          <t>Fossil
Avail (MW)</t>
        </is>
      </c>
      <c r="K4" s="3" t="inlineStr">
        <is>
          <t>Total RES
(MW)</t>
        </is>
      </c>
      <c r="L4" s="3" t="inlineStr">
        <is>
          <t>RES+BESS
Total (MW)</t>
        </is>
      </c>
    </row>
    <row r="5">
      <c r="A5" s="4" t="n">
        <v>2021</v>
      </c>
      <c r="B5" s="4" t="n">
        <v>671</v>
      </c>
      <c r="C5" s="4" t="n">
        <v>671</v>
      </c>
      <c r="D5" s="4" t="n">
        <v>250</v>
      </c>
      <c r="E5" s="4" t="n">
        <v>250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1800</v>
      </c>
      <c r="K5" s="4" t="n">
        <v>921</v>
      </c>
      <c r="L5" s="4" t="n">
        <v>921</v>
      </c>
    </row>
    <row r="6">
      <c r="A6" s="4" t="n">
        <v>2022</v>
      </c>
      <c r="B6" s="4" t="n">
        <v>946</v>
      </c>
      <c r="C6" s="4" t="n">
        <v>275</v>
      </c>
      <c r="D6" s="4" t="n">
        <v>570</v>
      </c>
      <c r="E6" s="4" t="n">
        <v>320</v>
      </c>
      <c r="F6" s="4" t="n">
        <v>200</v>
      </c>
      <c r="G6" s="4" t="n">
        <v>200</v>
      </c>
      <c r="H6" s="4" t="n">
        <v>200</v>
      </c>
      <c r="I6" s="4" t="n">
        <v>200</v>
      </c>
      <c r="J6" s="4" t="n">
        <v>1800</v>
      </c>
      <c r="K6" s="4" t="n">
        <v>1516</v>
      </c>
      <c r="L6" s="4" t="n">
        <v>1716</v>
      </c>
    </row>
    <row r="7">
      <c r="A7" s="4" t="n">
        <v>2023</v>
      </c>
      <c r="B7" s="4" t="n">
        <v>1050</v>
      </c>
      <c r="C7" s="4" t="n">
        <v>104</v>
      </c>
      <c r="D7" s="4" t="n">
        <v>1410</v>
      </c>
      <c r="E7" s="4" t="n">
        <v>840</v>
      </c>
      <c r="F7" s="4" t="n">
        <v>200</v>
      </c>
      <c r="G7" s="4" t="n">
        <v>0</v>
      </c>
      <c r="H7" s="4" t="n">
        <v>200</v>
      </c>
      <c r="I7" s="4" t="n">
        <v>0</v>
      </c>
      <c r="J7" s="4" t="n">
        <v>1800</v>
      </c>
      <c r="K7" s="4" t="n">
        <v>2460</v>
      </c>
      <c r="L7" s="4" t="n">
        <v>2660</v>
      </c>
    </row>
    <row r="8">
      <c r="A8" s="4" t="n">
        <v>2024</v>
      </c>
      <c r="B8" s="4" t="n">
        <v>1200</v>
      </c>
      <c r="C8" s="4" t="n">
        <v>150</v>
      </c>
      <c r="D8" s="4" t="n">
        <v>2280</v>
      </c>
      <c r="E8" s="4" t="n">
        <v>870</v>
      </c>
      <c r="F8" s="4" t="n">
        <v>250</v>
      </c>
      <c r="G8" s="4" t="n">
        <v>50</v>
      </c>
      <c r="H8" s="4" t="n">
        <v>300</v>
      </c>
      <c r="I8" s="4" t="n">
        <v>100</v>
      </c>
      <c r="J8" s="4" t="n">
        <v>1800</v>
      </c>
      <c r="K8" s="4" t="n">
        <v>3480</v>
      </c>
      <c r="L8" s="4" t="n">
        <v>3730</v>
      </c>
    </row>
    <row r="9">
      <c r="A9" s="4" t="n">
        <v>2025</v>
      </c>
      <c r="B9" s="4" t="n">
        <v>1500</v>
      </c>
      <c r="C9" s="4" t="n">
        <v>300</v>
      </c>
      <c r="D9" s="4" t="n">
        <v>2800</v>
      </c>
      <c r="E9" s="4" t="n">
        <v>520</v>
      </c>
      <c r="F9" s="4" t="n">
        <v>535</v>
      </c>
      <c r="G9" s="4" t="n">
        <v>285</v>
      </c>
      <c r="H9" s="4" t="n">
        <v>700</v>
      </c>
      <c r="I9" s="4" t="n">
        <v>400</v>
      </c>
      <c r="J9" s="4" t="n">
        <v>1800</v>
      </c>
      <c r="K9" s="4" t="n">
        <v>4300</v>
      </c>
      <c r="L9" s="4" t="n">
        <v>4835</v>
      </c>
    </row>
    <row r="10">
      <c r="A10" s="5" t="n">
        <v>2026</v>
      </c>
      <c r="B10" s="5" t="n">
        <v>1900</v>
      </c>
      <c r="C10" s="5" t="n">
        <v>400</v>
      </c>
      <c r="D10" s="5" t="n">
        <v>3500</v>
      </c>
      <c r="E10" s="5" t="n">
        <v>700</v>
      </c>
      <c r="F10" s="5" t="n">
        <v>800</v>
      </c>
      <c r="G10" s="5" t="n">
        <v>265</v>
      </c>
      <c r="H10" s="5" t="n">
        <v>1200</v>
      </c>
      <c r="I10" s="5" t="n">
        <v>500</v>
      </c>
      <c r="J10" s="5" t="n">
        <v>1600</v>
      </c>
      <c r="K10" s="5" t="n">
        <v>5400</v>
      </c>
      <c r="L10" s="5" t="n">
        <v>6200</v>
      </c>
    </row>
    <row r="11">
      <c r="A11" s="5" t="n">
        <v>2027</v>
      </c>
      <c r="B11" s="5" t="n">
        <v>2400</v>
      </c>
      <c r="C11" s="5" t="n">
        <v>500</v>
      </c>
      <c r="D11" s="5" t="n">
        <v>4200</v>
      </c>
      <c r="E11" s="5" t="n">
        <v>700</v>
      </c>
      <c r="F11" s="5" t="n">
        <v>1200</v>
      </c>
      <c r="G11" s="5" t="n">
        <v>400</v>
      </c>
      <c r="H11" s="5" t="n">
        <v>2000</v>
      </c>
      <c r="I11" s="5" t="n">
        <v>800</v>
      </c>
      <c r="J11" s="5" t="n">
        <v>1500</v>
      </c>
      <c r="K11" s="5" t="n">
        <v>6600</v>
      </c>
      <c r="L11" s="5" t="n">
        <v>7800</v>
      </c>
    </row>
    <row r="12">
      <c r="A12" s="5" t="n">
        <v>2028</v>
      </c>
      <c r="B12" s="5" t="n">
        <v>3000</v>
      </c>
      <c r="C12" s="5" t="n">
        <v>600</v>
      </c>
      <c r="D12" s="5" t="n">
        <v>4800</v>
      </c>
      <c r="E12" s="5" t="n">
        <v>600</v>
      </c>
      <c r="F12" s="5" t="n">
        <v>1500</v>
      </c>
      <c r="G12" s="5" t="n">
        <v>300</v>
      </c>
      <c r="H12" s="5" t="n">
        <v>3000</v>
      </c>
      <c r="I12" s="5" t="n">
        <v>1000</v>
      </c>
      <c r="J12" s="5" t="n">
        <v>1400</v>
      </c>
      <c r="K12" s="5" t="n">
        <v>7800</v>
      </c>
      <c r="L12" s="5" t="n">
        <v>9300</v>
      </c>
    </row>
    <row r="13">
      <c r="A13" s="5" t="n">
        <v>2029</v>
      </c>
      <c r="B13" s="5" t="n">
        <v>3500</v>
      </c>
      <c r="C13" s="5" t="n">
        <v>500</v>
      </c>
      <c r="D13" s="5" t="n">
        <v>5100</v>
      </c>
      <c r="E13" s="5" t="n">
        <v>300</v>
      </c>
      <c r="F13" s="5" t="n">
        <v>1700</v>
      </c>
      <c r="G13" s="5" t="n">
        <v>200</v>
      </c>
      <c r="H13" s="5" t="n">
        <v>4000</v>
      </c>
      <c r="I13" s="5" t="n">
        <v>1000</v>
      </c>
      <c r="J13" s="5" t="n">
        <v>1200</v>
      </c>
      <c r="K13" s="5" t="n">
        <v>8600</v>
      </c>
      <c r="L13" s="5" t="n">
        <v>10300</v>
      </c>
    </row>
    <row r="14">
      <c r="A14" s="5" t="n">
        <v>2030</v>
      </c>
      <c r="B14" s="5" t="n">
        <v>4000</v>
      </c>
      <c r="C14" s="5" t="n">
        <v>500</v>
      </c>
      <c r="D14" s="5" t="n">
        <v>5500</v>
      </c>
      <c r="E14" s="5" t="n">
        <v>400</v>
      </c>
      <c r="F14" s="5" t="n">
        <v>1800</v>
      </c>
      <c r="G14" s="5" t="n">
        <v>100</v>
      </c>
      <c r="H14" s="5" t="n">
        <v>4200</v>
      </c>
      <c r="I14" s="5" t="n">
        <v>200</v>
      </c>
      <c r="J14" s="5" t="n">
        <v>1000</v>
      </c>
      <c r="K14" s="5" t="n">
        <v>9500</v>
      </c>
      <c r="L14" s="5" t="n">
        <v>11300</v>
      </c>
    </row>
    <row r="15">
      <c r="A15" s="5" t="n">
        <v>2031</v>
      </c>
      <c r="B15" s="5" t="n">
        <v>4500</v>
      </c>
      <c r="C15" s="5" t="n">
        <v>500</v>
      </c>
      <c r="D15" s="5" t="n">
        <v>5800</v>
      </c>
      <c r="E15" s="5" t="n">
        <v>300</v>
      </c>
      <c r="F15" s="5" t="n">
        <v>1900</v>
      </c>
      <c r="G15" s="5" t="n">
        <v>100</v>
      </c>
      <c r="H15" s="5" t="n">
        <v>4500</v>
      </c>
      <c r="I15" s="5" t="n">
        <v>300</v>
      </c>
      <c r="J15" s="5" t="n">
        <v>900</v>
      </c>
      <c r="K15" s="5" t="n">
        <v>10300</v>
      </c>
      <c r="L15" s="5" t="n">
        <v>12200</v>
      </c>
    </row>
    <row r="17">
      <c r="A17" s="6" t="inlineStr">
        <is>
          <t>Legend:</t>
        </is>
      </c>
    </row>
    <row r="18">
      <c r="A18" s="2" t="inlineStr">
        <is>
          <t>Yellow cells = Forecast / Projection</t>
        </is>
      </c>
    </row>
    <row r="19">
      <c r="A19" s="2" t="inlineStr">
        <is>
          <t>Sources: LVEA, Litgrid, PV Magazine, IRENA, IEA Lithuania 2025 Review, Lithuania NECP</t>
        </is>
      </c>
    </row>
    <row r="20">
      <c r="A20" s="2" t="inlineStr">
        <is>
          <t>BESS govt procurement target: 1.7 GW / 4 GWh (support allocated for 4 GWh)</t>
        </is>
      </c>
    </row>
    <row r="21">
      <c r="A21" s="2" t="inlineStr">
        <is>
          <t>Wind includes planned 0.7 GW offshore by 2030</t>
        </is>
      </c>
    </row>
    <row r="22">
      <c r="A22" s="2" t="inlineStr">
        <is>
          <t>Solar NECP target: 5.1 GW by 2030</t>
        </is>
      </c>
    </row>
  </sheetData>
  <mergeCells count="2">
    <mergeCell ref="A2:L2"/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2" customWidth="1" min="4" max="4"/>
    <col width="18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Lithuania - Day-Ahead Wholesale Electricity Prices (EUR/MWh)</t>
        </is>
      </c>
    </row>
    <row r="2">
      <c r="A2" s="2" t="inlineStr">
        <is>
          <t>Source: ENTSO-E / Nord Pool via EnergyInEU | Monthly averages</t>
        </is>
      </c>
    </row>
    <row r="4">
      <c r="A4" s="3" t="inlineStr">
        <is>
          <t>Year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Annual Avg</t>
        </is>
      </c>
    </row>
    <row r="5">
      <c r="A5" s="4" t="n">
        <v>2021</v>
      </c>
      <c r="B5" s="7" t="n">
        <v>52.47</v>
      </c>
      <c r="C5" s="7" t="n">
        <v>59.31</v>
      </c>
      <c r="D5" s="7" t="n">
        <v>47.98</v>
      </c>
      <c r="E5" s="7" t="n">
        <v>44.74</v>
      </c>
      <c r="F5" s="7" t="n">
        <v>50.35</v>
      </c>
      <c r="G5" s="7" t="n">
        <v>77.73999999999999</v>
      </c>
      <c r="H5" s="7" t="n">
        <v>88.31999999999999</v>
      </c>
      <c r="I5" s="7" t="n">
        <v>87.73999999999999</v>
      </c>
      <c r="J5" s="7" t="n">
        <v>123.96</v>
      </c>
      <c r="K5" s="7" t="n">
        <v>108.97</v>
      </c>
      <c r="L5" s="7" t="n">
        <v>127.82</v>
      </c>
      <c r="M5" s="7" t="n">
        <v>212.22</v>
      </c>
      <c r="N5" s="8" t="n">
        <v>90.14</v>
      </c>
    </row>
    <row r="6">
      <c r="A6" s="4" t="n">
        <v>2022</v>
      </c>
      <c r="B6" s="7" t="n">
        <v>145.87</v>
      </c>
      <c r="C6" s="7" t="n">
        <v>104.74</v>
      </c>
      <c r="D6" s="7" t="n">
        <v>170.03</v>
      </c>
      <c r="E6" s="7" t="n">
        <v>116.46</v>
      </c>
      <c r="F6" s="7" t="n">
        <v>164.71</v>
      </c>
      <c r="G6" s="7" t="n">
        <v>223.16</v>
      </c>
      <c r="H6" s="7" t="n">
        <v>305.36</v>
      </c>
      <c r="I6" s="7" t="n">
        <v>480.39</v>
      </c>
      <c r="J6" s="7" t="n">
        <v>359.68</v>
      </c>
      <c r="K6" s="7" t="n">
        <v>189.45</v>
      </c>
      <c r="L6" s="7" t="n">
        <v>226.63</v>
      </c>
      <c r="M6" s="7" t="n">
        <v>264.28</v>
      </c>
      <c r="N6" s="8" t="n">
        <v>229.23</v>
      </c>
    </row>
    <row r="7">
      <c r="A7" s="4" t="n">
        <v>2023</v>
      </c>
      <c r="B7" s="7" t="n">
        <v>103.06</v>
      </c>
      <c r="C7" s="7" t="n">
        <v>114.7</v>
      </c>
      <c r="D7" s="7" t="n">
        <v>87.72</v>
      </c>
      <c r="E7" s="7" t="n">
        <v>67.27</v>
      </c>
      <c r="F7" s="7" t="n">
        <v>78.02</v>
      </c>
      <c r="G7" s="7" t="n">
        <v>94.75</v>
      </c>
      <c r="H7" s="7" t="n">
        <v>83.84</v>
      </c>
      <c r="I7" s="7" t="n">
        <v>102.49</v>
      </c>
      <c r="J7" s="7" t="n">
        <v>117.29</v>
      </c>
      <c r="K7" s="7" t="n">
        <v>87.41</v>
      </c>
      <c r="L7" s="7" t="n">
        <v>105.2</v>
      </c>
      <c r="M7" s="7" t="n">
        <v>84.77</v>
      </c>
      <c r="N7" s="8" t="n">
        <v>93.88</v>
      </c>
    </row>
    <row r="8">
      <c r="A8" s="4" t="n">
        <v>2024</v>
      </c>
      <c r="B8" s="7" t="n">
        <v>117.41</v>
      </c>
      <c r="C8" s="7" t="n">
        <v>72.54000000000001</v>
      </c>
      <c r="D8" s="7" t="n">
        <v>68.18000000000001</v>
      </c>
      <c r="E8" s="7" t="n">
        <v>56.91</v>
      </c>
      <c r="F8" s="7" t="n">
        <v>75.84999999999999</v>
      </c>
      <c r="G8" s="7" t="n">
        <v>91.64</v>
      </c>
      <c r="H8" s="7" t="n">
        <v>98.02</v>
      </c>
      <c r="I8" s="7" t="n">
        <v>106.95</v>
      </c>
      <c r="J8" s="7" t="n">
        <v>83.54000000000001</v>
      </c>
      <c r="K8" s="7" t="n">
        <v>90.06</v>
      </c>
      <c r="L8" s="7" t="n">
        <v>88.98</v>
      </c>
      <c r="M8" s="7" t="n">
        <v>89.81999999999999</v>
      </c>
      <c r="N8" s="8" t="n">
        <v>86.66</v>
      </c>
    </row>
    <row r="9">
      <c r="A9" s="4" t="n">
        <v>2025</v>
      </c>
      <c r="B9" s="7" t="n">
        <v>83.03</v>
      </c>
      <c r="C9" s="7" t="n">
        <v>143.92</v>
      </c>
      <c r="D9" s="7" t="n">
        <v>92.36</v>
      </c>
      <c r="E9" s="7" t="n">
        <v>74.59</v>
      </c>
      <c r="F9" s="7" t="n">
        <v>64.13</v>
      </c>
      <c r="G9" s="7" t="n">
        <v>43.26</v>
      </c>
      <c r="H9" s="7" t="n">
        <v>46.18</v>
      </c>
      <c r="I9" s="7" t="n">
        <v>78.27</v>
      </c>
      <c r="J9" s="7" t="n">
        <v>84.23999999999999</v>
      </c>
      <c r="K9" s="7" t="n">
        <v>61.51</v>
      </c>
      <c r="L9" s="7" t="n">
        <v>38.56</v>
      </c>
      <c r="M9" s="7" t="n">
        <v>76.52</v>
      </c>
      <c r="N9" s="8" t="n">
        <v>73.88</v>
      </c>
    </row>
    <row r="10">
      <c r="A10" s="5" t="n">
        <v>2026</v>
      </c>
      <c r="B10" s="9" t="n">
        <v>114.13</v>
      </c>
      <c r="C10" s="9" t="n">
        <v>205.62</v>
      </c>
      <c r="N10" s="9" t="n">
        <v>159.88</v>
      </c>
    </row>
    <row r="12">
      <c r="A12" s="6" t="inlineStr">
        <is>
          <t>Summary Statistics</t>
        </is>
      </c>
    </row>
    <row r="13">
      <c r="A13" s="10" t="inlineStr">
        <is>
          <t>Year</t>
        </is>
      </c>
      <c r="B13" s="10" t="inlineStr">
        <is>
          <t>Avg EUR/MWh</t>
        </is>
      </c>
      <c r="C13" s="10" t="inlineStr">
        <is>
          <t>Min Month</t>
        </is>
      </c>
      <c r="D13" s="10" t="inlineStr">
        <is>
          <t>Max Month</t>
        </is>
      </c>
      <c r="E13" s="10" t="inlineStr">
        <is>
          <t>Spread (Max-Min)</t>
        </is>
      </c>
      <c r="F13" s="10" t="inlineStr">
        <is>
          <t>Neg Price Hours</t>
        </is>
      </c>
    </row>
    <row r="14">
      <c r="A14" s="4" t="n">
        <v>2021</v>
      </c>
      <c r="B14" s="4" t="n">
        <v>90.14</v>
      </c>
      <c r="C14" s="4" t="n">
        <v>44.74</v>
      </c>
      <c r="D14" s="4" t="n">
        <v>212.22</v>
      </c>
      <c r="E14" s="4" t="n">
        <v>167.48</v>
      </c>
      <c r="F14" s="4" t="n">
        <v>10</v>
      </c>
    </row>
    <row r="15">
      <c r="A15" s="4" t="n">
        <v>2022</v>
      </c>
      <c r="B15" s="4" t="n">
        <v>229.23</v>
      </c>
      <c r="C15" s="4" t="n">
        <v>104.74</v>
      </c>
      <c r="D15" s="4" t="n">
        <v>480.39</v>
      </c>
      <c r="E15" s="4" t="n">
        <v>375.65</v>
      </c>
      <c r="F15" s="4" t="n">
        <v>5</v>
      </c>
    </row>
    <row r="16">
      <c r="A16" s="4" t="n">
        <v>2023</v>
      </c>
      <c r="B16" s="4" t="n">
        <v>93.88</v>
      </c>
      <c r="C16" s="4" t="n">
        <v>67.27</v>
      </c>
      <c r="D16" s="4" t="n">
        <v>117.29</v>
      </c>
      <c r="E16" s="4" t="n">
        <v>50.02</v>
      </c>
      <c r="F16" s="4" t="n">
        <v>50</v>
      </c>
    </row>
    <row r="17">
      <c r="A17" s="4" t="n">
        <v>2024</v>
      </c>
      <c r="B17" s="4" t="n">
        <v>86.66</v>
      </c>
      <c r="C17" s="4" t="n">
        <v>56.91</v>
      </c>
      <c r="D17" s="4" t="n">
        <v>117.41</v>
      </c>
      <c r="E17" s="4" t="n">
        <v>60.5</v>
      </c>
      <c r="F17" s="4" t="n">
        <v>186</v>
      </c>
    </row>
    <row r="18">
      <c r="A18" s="4" t="n">
        <v>2025</v>
      </c>
      <c r="B18" s="4" t="n">
        <v>73.88</v>
      </c>
      <c r="C18" s="4" t="n">
        <v>38.56</v>
      </c>
      <c r="D18" s="4" t="n">
        <v>143.92</v>
      </c>
      <c r="E18" s="4" t="n">
        <v>105.36</v>
      </c>
      <c r="F18" s="4" t="n">
        <v>177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22" customWidth="1" min="3" max="3"/>
    <col width="18" customWidth="1" min="4" max="4"/>
    <col width="18" customWidth="1" min="5" max="5"/>
    <col width="15" customWidth="1" min="6" max="6"/>
    <col width="16" customWidth="1" min="7" max="7"/>
    <col width="15" customWidth="1" min="8" max="8"/>
  </cols>
  <sheetData>
    <row r="1">
      <c r="A1" s="1" t="inlineStr">
        <is>
          <t>Lithuania - Electricity Demand &amp; Load Analysis</t>
        </is>
      </c>
    </row>
    <row r="2">
      <c r="A2" s="2" t="inlineStr">
        <is>
          <t>Sources: Litgrid, IEA, Eurostat, NREL Lithuania Study</t>
        </is>
      </c>
    </row>
    <row r="4">
      <c r="A4" s="3" t="inlineStr">
        <is>
          <t>Year</t>
        </is>
      </c>
      <c r="B4" s="3" t="inlineStr">
        <is>
          <t>Consumption
(TWh)</t>
        </is>
      </c>
      <c r="C4" s="3" t="inlineStr">
        <is>
          <t>Dom. Generation
(TWh)</t>
        </is>
      </c>
      <c r="D4" s="3" t="inlineStr">
        <is>
          <t>Net Import
(TWh)</t>
        </is>
      </c>
      <c r="E4" s="3" t="inlineStr">
        <is>
          <t>Import Share
(%)</t>
        </is>
      </c>
      <c r="F4" s="3" t="inlineStr">
        <is>
          <t>Avg Load
(GW)</t>
        </is>
      </c>
      <c r="G4" s="3" t="inlineStr">
        <is>
          <t>Est. Peak
(GW)</t>
        </is>
      </c>
      <c r="H4" s="3" t="inlineStr">
        <is>
          <t>Est. Min
(GW)</t>
        </is>
      </c>
    </row>
    <row r="5">
      <c r="A5" s="4" t="n">
        <v>2021</v>
      </c>
      <c r="B5" s="11" t="n">
        <v>14.2</v>
      </c>
      <c r="C5" s="11" t="n">
        <v>4.2</v>
      </c>
      <c r="D5" s="11" t="n">
        <v>10</v>
      </c>
      <c r="E5" s="12" t="n">
        <v>70</v>
      </c>
      <c r="F5" s="11" t="n">
        <v>1.62</v>
      </c>
      <c r="G5" s="11" t="n">
        <v>2.1</v>
      </c>
      <c r="H5" s="11" t="n">
        <v>0.9</v>
      </c>
    </row>
    <row r="6">
      <c r="A6" s="4" t="n">
        <v>2022</v>
      </c>
      <c r="B6" s="11" t="n">
        <v>13.4</v>
      </c>
      <c r="C6" s="11" t="n">
        <v>4.8</v>
      </c>
      <c r="D6" s="11" t="n">
        <v>8.6</v>
      </c>
      <c r="E6" s="12" t="n">
        <v>64</v>
      </c>
      <c r="F6" s="11" t="n">
        <v>1.53</v>
      </c>
      <c r="G6" s="11" t="n">
        <v>2.05</v>
      </c>
      <c r="H6" s="11" t="n">
        <v>0.85</v>
      </c>
    </row>
    <row r="7">
      <c r="A7" s="4" t="n">
        <v>2023</v>
      </c>
      <c r="B7" s="11" t="n">
        <v>12.8</v>
      </c>
      <c r="C7" s="11" t="n">
        <v>5.5</v>
      </c>
      <c r="D7" s="11" t="n">
        <v>7.3</v>
      </c>
      <c r="E7" s="12" t="n">
        <v>57</v>
      </c>
      <c r="F7" s="11" t="n">
        <v>1.46</v>
      </c>
      <c r="G7" s="11" t="n">
        <v>2</v>
      </c>
      <c r="H7" s="11" t="n">
        <v>0.82</v>
      </c>
    </row>
    <row r="8">
      <c r="A8" s="4" t="n">
        <v>2024</v>
      </c>
      <c r="B8" s="11" t="n">
        <v>13</v>
      </c>
      <c r="C8" s="11" t="n">
        <v>7.5</v>
      </c>
      <c r="D8" s="11" t="n">
        <v>5.5</v>
      </c>
      <c r="E8" s="12" t="n">
        <v>42</v>
      </c>
      <c r="F8" s="11" t="n">
        <v>1.48</v>
      </c>
      <c r="G8" s="11" t="n">
        <v>2.1</v>
      </c>
      <c r="H8" s="11" t="n">
        <v>0.85</v>
      </c>
    </row>
    <row r="9">
      <c r="A9" s="4" t="n">
        <v>2025</v>
      </c>
      <c r="B9" s="11" t="n">
        <v>13.5</v>
      </c>
      <c r="C9" s="11" t="n">
        <v>9</v>
      </c>
      <c r="D9" s="11" t="n">
        <v>4.5</v>
      </c>
      <c r="E9" s="12" t="n">
        <v>33</v>
      </c>
      <c r="F9" s="11" t="n">
        <v>1.54</v>
      </c>
      <c r="G9" s="11" t="n">
        <v>2.15</v>
      </c>
      <c r="H9" s="11" t="n">
        <v>0.88</v>
      </c>
    </row>
    <row r="10">
      <c r="A10" s="5" t="n">
        <v>2026</v>
      </c>
      <c r="B10" s="13" t="n">
        <v>14.2</v>
      </c>
      <c r="C10" s="13" t="n">
        <v>10.5</v>
      </c>
      <c r="D10" s="13" t="n">
        <v>3.7</v>
      </c>
      <c r="E10" s="14" t="n">
        <v>26</v>
      </c>
      <c r="F10" s="13" t="n">
        <v>1.62</v>
      </c>
      <c r="G10" s="13" t="n">
        <v>2.2</v>
      </c>
      <c r="H10" s="13" t="n">
        <v>0.9</v>
      </c>
    </row>
    <row r="11">
      <c r="A11" s="5" t="n">
        <v>2027</v>
      </c>
      <c r="B11" s="13" t="n">
        <v>15</v>
      </c>
      <c r="C11" s="13" t="n">
        <v>12</v>
      </c>
      <c r="D11" s="13" t="n">
        <v>3</v>
      </c>
      <c r="E11" s="14" t="n">
        <v>20</v>
      </c>
      <c r="F11" s="13" t="n">
        <v>1.71</v>
      </c>
      <c r="G11" s="13" t="n">
        <v>2.3</v>
      </c>
      <c r="H11" s="13" t="n">
        <v>0.95</v>
      </c>
    </row>
    <row r="12">
      <c r="A12" s="5" t="n">
        <v>2028</v>
      </c>
      <c r="B12" s="13" t="n">
        <v>16</v>
      </c>
      <c r="C12" s="13" t="n">
        <v>14</v>
      </c>
      <c r="D12" s="13" t="n">
        <v>2</v>
      </c>
      <c r="E12" s="14" t="n">
        <v>13</v>
      </c>
      <c r="F12" s="13" t="n">
        <v>1.83</v>
      </c>
      <c r="G12" s="13" t="n">
        <v>2.4</v>
      </c>
      <c r="H12" s="13" t="n">
        <v>1</v>
      </c>
    </row>
    <row r="13">
      <c r="A13" s="5" t="n">
        <v>2029</v>
      </c>
      <c r="B13" s="13" t="n">
        <v>17</v>
      </c>
      <c r="C13" s="13" t="n">
        <v>15.5</v>
      </c>
      <c r="D13" s="13" t="n">
        <v>1.5</v>
      </c>
      <c r="E13" s="14" t="n">
        <v>9</v>
      </c>
      <c r="F13" s="13" t="n">
        <v>1.94</v>
      </c>
      <c r="G13" s="13" t="n">
        <v>2.55</v>
      </c>
      <c r="H13" s="13" t="n">
        <v>1.05</v>
      </c>
    </row>
    <row r="14">
      <c r="A14" s="5" t="n">
        <v>2030</v>
      </c>
      <c r="B14" s="13" t="n">
        <v>18</v>
      </c>
      <c r="C14" s="13" t="n">
        <v>17.5</v>
      </c>
      <c r="D14" s="13" t="n">
        <v>0.5</v>
      </c>
      <c r="E14" s="14" t="n">
        <v>3</v>
      </c>
      <c r="F14" s="13" t="n">
        <v>2.05</v>
      </c>
      <c r="G14" s="13" t="n">
        <v>2.7</v>
      </c>
      <c r="H14" s="13" t="n">
        <v>1.1</v>
      </c>
    </row>
    <row r="15">
      <c r="A15" s="5" t="n">
        <v>2031</v>
      </c>
      <c r="B15" s="13" t="n">
        <v>18.7</v>
      </c>
      <c r="C15" s="13" t="n">
        <v>19</v>
      </c>
      <c r="D15" s="13" t="n">
        <v>-0.3</v>
      </c>
      <c r="E15" s="14" t="n">
        <v>-2</v>
      </c>
      <c r="F15" s="13" t="n">
        <v>2.13</v>
      </c>
      <c r="G15" s="13" t="n">
        <v>2.8</v>
      </c>
      <c r="H15" s="13" t="n">
        <v>1.15</v>
      </c>
    </row>
    <row r="17">
      <c r="A17" s="6" t="inlineStr">
        <is>
          <t>Key Insights:</t>
        </is>
      </c>
    </row>
    <row r="18">
      <c r="A18" s="15" t="inlineStr">
        <is>
          <t>• Lithuania consumed ~13-14 TWh/year (2021-2025), with peak demand ~2.1 GW</t>
        </is>
      </c>
    </row>
    <row r="19">
      <c r="A19" s="15" t="inlineStr">
        <is>
          <t>• Import dependency dropped from 70% (2021) to ~33% (2025) due to renewable build-out</t>
        </is>
      </c>
    </row>
    <row r="20">
      <c r="A20" s="15" t="inlineStr">
        <is>
          <t>• Litgrid forecasts 4%/yr demand growth → 18.7 TWh by 2031 (data centers, EV, heat pumps)</t>
        </is>
      </c>
    </row>
    <row r="21">
      <c r="A21" s="15" t="inlineStr">
        <is>
          <t>• Lithuania targets net electricity exporter status by 2028-2030</t>
        </is>
      </c>
    </row>
    <row r="22">
      <c r="A22" s="15" t="inlineStr">
        <is>
          <t>• Feb 2025: Baltic grid sync with Continental Europe — ended 50+ years of Russian grid dependency</t>
        </is>
      </c>
    </row>
    <row r="23">
      <c r="A23" s="15" t="inlineStr">
        <is>
          <t>• After disconnection, prices spiked to €325/MWh peak (9 Feb 2025) but normalized within days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Lithuania - aFRR, Imbalance &amp; Intra-Day Market Analysis</t>
        </is>
      </c>
    </row>
    <row r="2">
      <c r="A2" s="2" t="inlineStr">
        <is>
          <t>Sources: Litgrid, ENTSO-E, CEER, ESS News, PICASSO</t>
        </is>
      </c>
    </row>
    <row r="4">
      <c r="A4" s="6" t="inlineStr">
        <is>
          <t>aFRR Capacity Market</t>
        </is>
      </c>
    </row>
    <row r="5">
      <c r="A5" s="3" t="inlineStr">
        <is>
          <t>Parameter</t>
        </is>
      </c>
      <c r="B5" s="3" t="inlineStr">
        <is>
          <t>2023</t>
        </is>
      </c>
      <c r="C5" s="3" t="inlineStr">
        <is>
          <t>2024</t>
        </is>
      </c>
      <c r="D5" s="3" t="inlineStr">
        <is>
          <t>2025</t>
        </is>
      </c>
      <c r="E5" s="3" t="inlineStr">
        <is>
          <t>2026E</t>
        </is>
      </c>
      <c r="F5" s="3" t="inlineStr">
        <is>
          <t>2027E</t>
        </is>
      </c>
      <c r="G5" s="3" t="inlineStr">
        <is>
          <t>2028E</t>
        </is>
      </c>
      <c r="H5" s="3" t="inlineStr">
        <is>
          <t>2029E</t>
        </is>
      </c>
      <c r="I5" s="3" t="inlineStr">
        <is>
          <t>2030E</t>
        </is>
      </c>
    </row>
    <row r="6">
      <c r="A6" s="16" t="inlineStr">
        <is>
          <t>aFRR Up Requirement (MW)</t>
        </is>
      </c>
      <c r="B6" s="4" t="n">
        <v>40</v>
      </c>
      <c r="C6" s="4" t="n">
        <v>60</v>
      </c>
      <c r="D6" s="4" t="n">
        <v>80</v>
      </c>
      <c r="E6" s="4" t="n">
        <v>96</v>
      </c>
      <c r="F6" s="5" t="n">
        <v>110</v>
      </c>
      <c r="G6" s="5" t="n">
        <v>120</v>
      </c>
      <c r="H6" s="5" t="n">
        <v>120</v>
      </c>
      <c r="I6" s="5" t="n">
        <v>120</v>
      </c>
    </row>
    <row r="7">
      <c r="A7" s="16" t="inlineStr">
        <is>
          <t>aFRR Down Requirement (MW)</t>
        </is>
      </c>
      <c r="B7" s="4" t="n">
        <v>40</v>
      </c>
      <c r="C7" s="4" t="n">
        <v>60</v>
      </c>
      <c r="D7" s="4" t="n">
        <v>80</v>
      </c>
      <c r="E7" s="4" t="n">
        <v>104</v>
      </c>
      <c r="F7" s="5" t="n">
        <v>110</v>
      </c>
      <c r="G7" s="5" t="n">
        <v>120</v>
      </c>
      <c r="H7" s="5" t="n">
        <v>120</v>
      </c>
      <c r="I7" s="5" t="n">
        <v>120</v>
      </c>
    </row>
    <row r="8">
      <c r="A8" s="16" t="inlineStr">
        <is>
          <t>aFRR Capacity Price Up (EUR/MW/h)</t>
        </is>
      </c>
      <c r="B8" s="4" t="n">
        <v>15</v>
      </c>
      <c r="C8" s="4" t="n">
        <v>20</v>
      </c>
      <c r="D8" s="4" t="n">
        <v>25</v>
      </c>
      <c r="E8" s="4" t="n">
        <v>30</v>
      </c>
      <c r="F8" s="5" t="n">
        <v>28</v>
      </c>
      <c r="G8" s="5" t="n">
        <v>25</v>
      </c>
      <c r="H8" s="5" t="n">
        <v>22</v>
      </c>
      <c r="I8" s="5" t="n">
        <v>20</v>
      </c>
    </row>
    <row r="9">
      <c r="A9" s="16" t="inlineStr">
        <is>
          <t>aFRR Capacity Price Down (EUR/MW/h)</t>
        </is>
      </c>
      <c r="B9" s="4" t="n">
        <v>8</v>
      </c>
      <c r="C9" s="4" t="n">
        <v>12</v>
      </c>
      <c r="D9" s="4" t="n">
        <v>15</v>
      </c>
      <c r="E9" s="4" t="n">
        <v>18</v>
      </c>
      <c r="F9" s="5" t="n">
        <v>16</v>
      </c>
      <c r="G9" s="5" t="n">
        <v>14</v>
      </c>
      <c r="H9" s="5" t="n">
        <v>12</v>
      </c>
      <c r="I9" s="5" t="n">
        <v>10</v>
      </c>
    </row>
    <row r="10">
      <c r="A10" s="16" t="inlineStr">
        <is>
          <t>aFRR Energy Price Up (EUR/MWh)</t>
        </is>
      </c>
      <c r="B10" s="4" t="n">
        <v>120</v>
      </c>
      <c r="C10" s="4" t="n">
        <v>130</v>
      </c>
      <c r="D10" s="4" t="n">
        <v>140</v>
      </c>
      <c r="E10" s="4" t="n">
        <v>145</v>
      </c>
      <c r="F10" s="5" t="n">
        <v>135</v>
      </c>
      <c r="G10" s="5" t="n">
        <v>125</v>
      </c>
      <c r="H10" s="5" t="n">
        <v>115</v>
      </c>
      <c r="I10" s="5" t="n">
        <v>110</v>
      </c>
    </row>
    <row r="11">
      <c r="A11" s="16" t="inlineStr">
        <is>
          <t>aFRR Energy Price Down (EUR/MWh)</t>
        </is>
      </c>
      <c r="B11" s="4" t="n">
        <v>-20</v>
      </c>
      <c r="C11" s="4" t="n">
        <v>-25</v>
      </c>
      <c r="D11" s="4" t="n">
        <v>-30</v>
      </c>
      <c r="E11" s="4" t="n">
        <v>-35</v>
      </c>
      <c r="F11" s="5" t="n">
        <v>-40</v>
      </c>
      <c r="G11" s="5" t="n">
        <v>-45</v>
      </c>
      <c r="H11" s="5" t="n">
        <v>-50</v>
      </c>
      <c r="I11" s="5" t="n">
        <v>-55</v>
      </c>
    </row>
    <row r="12">
      <c r="A12" s="16" t="inlineStr">
        <is>
          <t>Total aFRR Cost (EUR mn)</t>
        </is>
      </c>
      <c r="B12" s="4" t="n">
        <v>5.3</v>
      </c>
      <c r="C12" s="4" t="n">
        <v>8.5</v>
      </c>
      <c r="D12" s="4" t="n">
        <v>12</v>
      </c>
      <c r="E12" s="4" t="n">
        <v>16</v>
      </c>
      <c r="F12" s="5" t="n">
        <v>18</v>
      </c>
      <c r="G12" s="5" t="n">
        <v>19</v>
      </c>
      <c r="H12" s="5" t="n">
        <v>18</v>
      </c>
      <c r="I12" s="5" t="n">
        <v>17</v>
      </c>
    </row>
    <row r="13">
      <c r="A13" s="16" t="inlineStr">
        <is>
          <t>BESS Share of aFRR (%)</t>
        </is>
      </c>
      <c r="B13" s="4" t="n">
        <v>15</v>
      </c>
      <c r="C13" s="4" t="n">
        <v>25</v>
      </c>
      <c r="D13" s="4" t="n">
        <v>40</v>
      </c>
      <c r="E13" s="4" t="n">
        <v>55</v>
      </c>
      <c r="F13" s="5" t="n">
        <v>65</v>
      </c>
      <c r="G13" s="5" t="n">
        <v>75</v>
      </c>
      <c r="H13" s="5" t="n">
        <v>80</v>
      </c>
      <c r="I13" s="5" t="n">
        <v>85</v>
      </c>
    </row>
    <row r="16">
      <c r="A16" s="6" t="inlineStr">
        <is>
          <t>Imbalance Settlement</t>
        </is>
      </c>
    </row>
    <row r="17">
      <c r="A17" s="3" t="inlineStr">
        <is>
          <t>Parameter</t>
        </is>
      </c>
      <c r="B17" s="3" t="inlineStr">
        <is>
          <t>2023</t>
        </is>
      </c>
      <c r="C17" s="3" t="inlineStr">
        <is>
          <t>2024</t>
        </is>
      </c>
      <c r="D17" s="3" t="inlineStr">
        <is>
          <t>2025</t>
        </is>
      </c>
      <c r="E17" s="3" t="inlineStr">
        <is>
          <t>2026E</t>
        </is>
      </c>
      <c r="F17" s="3" t="inlineStr">
        <is>
          <t>2027E</t>
        </is>
      </c>
    </row>
    <row r="18">
      <c r="A18" s="16" t="inlineStr">
        <is>
          <t>Imbalance Price Avg Positive (EUR/MWh)</t>
        </is>
      </c>
      <c r="B18" s="4" t="n">
        <v>110</v>
      </c>
      <c r="C18" s="4" t="n">
        <v>105</v>
      </c>
      <c r="D18" s="4" t="n">
        <v>100</v>
      </c>
      <c r="E18" s="5" t="n">
        <v>95</v>
      </c>
      <c r="F18" s="5" t="n">
        <v>90</v>
      </c>
    </row>
    <row r="19">
      <c r="A19" s="16" t="inlineStr">
        <is>
          <t>Imbalance Price Avg Negative (EUR/MWh)</t>
        </is>
      </c>
      <c r="B19" s="4" t="n">
        <v>-15</v>
      </c>
      <c r="C19" s="4" t="n">
        <v>-25</v>
      </c>
      <c r="D19" s="4" t="n">
        <v>-35</v>
      </c>
      <c r="E19" s="5" t="n">
        <v>-45</v>
      </c>
      <c r="F19" s="5" t="n">
        <v>-55</v>
      </c>
    </row>
    <row r="20">
      <c r="A20" s="16" t="inlineStr">
        <is>
          <t>Imbalance Price Max Positive (EUR/MWh)</t>
        </is>
      </c>
      <c r="B20" s="4" t="n">
        <v>800</v>
      </c>
      <c r="C20" s="4" t="n">
        <v>1200</v>
      </c>
      <c r="D20" s="4" t="n">
        <v>1500</v>
      </c>
      <c r="E20" s="5" t="n">
        <v>1800</v>
      </c>
      <c r="F20" s="5" t="n">
        <v>2000</v>
      </c>
    </row>
    <row r="21">
      <c r="A21" s="16" t="inlineStr">
        <is>
          <t>Imbalance Price Min Negative (EUR/MWh)</t>
        </is>
      </c>
      <c r="B21" s="4" t="n">
        <v>-150</v>
      </c>
      <c r="C21" s="4" t="n">
        <v>-300</v>
      </c>
      <c r="D21" s="4" t="n">
        <v>-400</v>
      </c>
      <c r="E21" s="5" t="n">
        <v>-500</v>
      </c>
      <c r="F21" s="5" t="n">
        <v>-500</v>
      </c>
    </row>
    <row r="22">
      <c r="A22" s="16" t="inlineStr">
        <is>
          <t>Settlement Period</t>
        </is>
      </c>
      <c r="B22" s="4" t="inlineStr">
        <is>
          <t>60 min</t>
        </is>
      </c>
      <c r="C22" s="4" t="inlineStr">
        <is>
          <t>15 min</t>
        </is>
      </c>
      <c r="D22" s="4" t="inlineStr">
        <is>
          <t>15 min</t>
        </is>
      </c>
      <c r="E22" s="5" t="inlineStr">
        <is>
          <t>15 min</t>
        </is>
      </c>
      <c r="F22" s="5" t="inlineStr">
        <is>
          <t>15 min</t>
        </is>
      </c>
    </row>
    <row r="23">
      <c r="A23" s="16" t="inlineStr">
        <is>
          <t>Avg Spread (Pos-Neg) (EUR/MWh)</t>
        </is>
      </c>
      <c r="B23" s="4" t="n">
        <v>125</v>
      </c>
      <c r="C23" s="4" t="n">
        <v>130</v>
      </c>
      <c r="D23" s="4" t="n">
        <v>135</v>
      </c>
      <c r="E23" s="5" t="n">
        <v>140</v>
      </c>
      <c r="F23" s="5" t="n">
        <v>145</v>
      </c>
    </row>
    <row r="24">
      <c r="A24" s="16" t="inlineStr">
        <is>
          <t>PICASSO Integration</t>
        </is>
      </c>
      <c r="B24" s="4" t="inlineStr">
        <is>
          <t>No</t>
        </is>
      </c>
      <c r="C24" s="4" t="inlineStr">
        <is>
          <t>No</t>
        </is>
      </c>
      <c r="D24" s="4" t="inlineStr">
        <is>
          <t>Yes (Mar)</t>
        </is>
      </c>
      <c r="E24" s="5" t="inlineStr">
        <is>
          <t>Yes</t>
        </is>
      </c>
      <c r="F24" s="5" t="inlineStr">
        <is>
          <t>Yes</t>
        </is>
      </c>
    </row>
    <row r="27">
      <c r="A27" s="6" t="inlineStr">
        <is>
          <t>Intra-Day Market</t>
        </is>
      </c>
    </row>
    <row r="28">
      <c r="A28" s="3" t="inlineStr">
        <is>
          <t>Parameter</t>
        </is>
      </c>
      <c r="B28" s="3" t="inlineStr">
        <is>
          <t>2023</t>
        </is>
      </c>
      <c r="C28" s="3" t="inlineStr">
        <is>
          <t>2024</t>
        </is>
      </c>
      <c r="D28" s="3" t="inlineStr">
        <is>
          <t>2025</t>
        </is>
      </c>
      <c r="E28" s="3" t="inlineStr">
        <is>
          <t>2026E</t>
        </is>
      </c>
      <c r="F28" s="3" t="inlineStr">
        <is>
          <t>2027E</t>
        </is>
      </c>
    </row>
    <row r="29">
      <c r="A29" s="16" t="inlineStr">
        <is>
          <t>ID Avg Price (EUR/MWh)</t>
        </is>
      </c>
      <c r="B29" s="4" t="n">
        <v>93</v>
      </c>
      <c r="C29" s="4" t="n">
        <v>88</v>
      </c>
      <c r="D29" s="4" t="n">
        <v>75</v>
      </c>
      <c r="E29" s="5" t="n">
        <v>80</v>
      </c>
      <c r="F29" s="5" t="n">
        <v>75</v>
      </c>
    </row>
    <row r="30">
      <c r="A30" s="16" t="inlineStr">
        <is>
          <t>ID-DA Spread Avg (EUR/MWh)</t>
        </is>
      </c>
      <c r="B30" s="4" t="n">
        <v>5</v>
      </c>
      <c r="C30" s="4" t="n">
        <v>8</v>
      </c>
      <c r="D30" s="4" t="n">
        <v>10</v>
      </c>
      <c r="E30" s="5" t="n">
        <v>12</v>
      </c>
      <c r="F30" s="5" t="n">
        <v>12</v>
      </c>
    </row>
    <row r="31">
      <c r="A31" s="16" t="inlineStr">
        <is>
          <t>ID-DA Spread P90 (EUR/MWh)</t>
        </is>
      </c>
      <c r="B31" s="4" t="n">
        <v>25</v>
      </c>
      <c r="C31" s="4" t="n">
        <v>35</v>
      </c>
      <c r="D31" s="4" t="n">
        <v>45</v>
      </c>
      <c r="E31" s="5" t="n">
        <v>55</v>
      </c>
      <c r="F31" s="5" t="n">
        <v>55</v>
      </c>
    </row>
    <row r="32">
      <c r="A32" s="16" t="inlineStr">
        <is>
          <t>ID Volatility (Std Dev EUR/MWh)</t>
        </is>
      </c>
      <c r="B32" s="4" t="n">
        <v>40</v>
      </c>
      <c r="C32" s="4" t="n">
        <v>45</v>
      </c>
      <c r="D32" s="4" t="n">
        <v>55</v>
      </c>
      <c r="E32" s="5" t="n">
        <v>60</v>
      </c>
      <c r="F32" s="5" t="n">
        <v>65</v>
      </c>
    </row>
    <row r="33">
      <c r="A33" s="16" t="inlineStr">
        <is>
          <t>Neg Price Hours ID</t>
        </is>
      </c>
      <c r="B33" s="4" t="n">
        <v>30</v>
      </c>
      <c r="C33" s="4" t="n">
        <v>120</v>
      </c>
      <c r="D33" s="4" t="n">
        <v>177</v>
      </c>
      <c r="E33" s="5" t="n">
        <v>220</v>
      </c>
      <c r="F33" s="5" t="n">
        <v>280</v>
      </c>
    </row>
    <row r="34">
      <c r="A34" s="16" t="inlineStr">
        <is>
          <t>ID Trading Volume (TWh)</t>
        </is>
      </c>
      <c r="B34" s="4" t="n">
        <v>1.2</v>
      </c>
      <c r="C34" s="4" t="n">
        <v>1.8</v>
      </c>
      <c r="D34" s="4" t="n">
        <v>2.5</v>
      </c>
      <c r="E34" s="5" t="n">
        <v>3.5</v>
      </c>
      <c r="F34" s="5" t="n">
        <v>4.5</v>
      </c>
    </row>
    <row r="36">
      <c r="A36" s="6" t="inlineStr">
        <is>
          <t>Key Market Developments:</t>
        </is>
      </c>
    </row>
    <row r="37">
      <c r="A37" s="15" t="inlineStr">
        <is>
          <t>• Mar 2025: Lithuania (Litgrid) joined PICASSO — pan-European aFRR platform</t>
        </is>
      </c>
    </row>
    <row r="38">
      <c r="A38" s="15" t="inlineStr">
        <is>
          <t>• 2024: Imbalance settlement shifted from 60-min to 15-min periods (EU regulation)</t>
        </is>
      </c>
    </row>
    <row r="39">
      <c r="A39" s="15" t="inlineStr">
        <is>
          <t>• aFRR demand: up to 96-120 MW up / 104-120 MW down expected in 2026</t>
        </is>
      </c>
    </row>
    <row r="40">
      <c r="A40" s="15" t="inlineStr">
        <is>
          <t>• Baltic TSOs demand reduction reserve reduced total balancing costs 8x (Feb-Sep 2025)</t>
        </is>
      </c>
    </row>
    <row r="41">
      <c r="A41" s="15" t="inlineStr">
        <is>
          <t>• Ancillary service costs increased 5.5x in 2024 vs 2023 (to 1.31 ct/kWh)</t>
        </is>
      </c>
    </row>
    <row r="42">
      <c r="A42" s="15" t="inlineStr">
        <is>
          <t>• BESS increasingly capturing aFRR market — Energy Cells 40MW already providing aFRR</t>
        </is>
      </c>
    </row>
    <row r="43">
      <c r="A43" s="15" t="inlineStr">
        <is>
          <t>• Intra-day volatility increasing with renewable penetration — strong BESS opportunity</t>
        </is>
      </c>
    </row>
    <row r="44">
      <c r="A44" s="15" t="inlineStr">
        <is>
          <t>• NOTE: Exact aFRR/imbalance prices are estimates based on ENTSO-E reports &amp; CEER data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2" customWidth="1" min="10" max="10"/>
    <col width="12" customWidth="1" min="11" max="11"/>
  </cols>
  <sheetData>
    <row r="1">
      <c r="A1" s="1" t="inlineStr">
        <is>
          <t>Lithuania - BESS Market Saturation &amp; Revenue Analysis</t>
        </is>
      </c>
    </row>
    <row r="2">
      <c r="A2" s="2" t="inlineStr">
        <is>
          <t>Birdview Energy Analysis | Based on collected market data</t>
        </is>
      </c>
    </row>
    <row r="4">
      <c r="A4" s="6" t="inlineStr">
        <is>
          <t>BESS Revenue Potential by Stream (EUR/kW/yr)</t>
        </is>
      </c>
    </row>
    <row r="5">
      <c r="A5" s="3" t="inlineStr">
        <is>
          <t>Revenue Stream</t>
        </is>
      </c>
      <c r="B5" s="3" t="inlineStr">
        <is>
          <t>2024</t>
        </is>
      </c>
      <c r="C5" s="3" t="inlineStr">
        <is>
          <t>2025</t>
        </is>
      </c>
      <c r="D5" s="3" t="inlineStr">
        <is>
          <t>2026E</t>
        </is>
      </c>
      <c r="E5" s="3" t="inlineStr">
        <is>
          <t>2027E</t>
        </is>
      </c>
      <c r="F5" s="3" t="inlineStr">
        <is>
          <t>2028E</t>
        </is>
      </c>
      <c r="G5" s="3" t="inlineStr">
        <is>
          <t>2029E</t>
        </is>
      </c>
      <c r="H5" s="3" t="inlineStr">
        <is>
          <t>2030E</t>
        </is>
      </c>
      <c r="I5" s="3" t="inlineStr">
        <is>
          <t>Notes</t>
        </is>
      </c>
    </row>
    <row r="6">
      <c r="A6" s="16" t="inlineStr">
        <is>
          <t>DA Arbitrage</t>
        </is>
      </c>
      <c r="B6" s="4" t="n">
        <v>35</v>
      </c>
      <c r="C6" s="4" t="n">
        <v>30</v>
      </c>
      <c r="D6" s="5" t="n">
        <v>28</v>
      </c>
      <c r="E6" s="5" t="n">
        <v>25</v>
      </c>
      <c r="F6" s="5" t="n">
        <v>22</v>
      </c>
      <c r="G6" s="5" t="n">
        <v>20</v>
      </c>
      <c r="H6" s="5" t="n">
        <v>18</v>
      </c>
      <c r="I6" s="17" t="inlineStr">
        <is>
          <t>Declining as price spreads narrow with more BESS</t>
        </is>
      </c>
    </row>
    <row r="7">
      <c r="A7" s="16" t="inlineStr">
        <is>
          <t>Intra-Day Trading</t>
        </is>
      </c>
      <c r="B7" s="4" t="n">
        <v>15</v>
      </c>
      <c r="C7" s="4" t="n">
        <v>18</v>
      </c>
      <c r="D7" s="5" t="n">
        <v>20</v>
      </c>
      <c r="E7" s="5" t="n">
        <v>22</v>
      </c>
      <c r="F7" s="5" t="n">
        <v>20</v>
      </c>
      <c r="G7" s="5" t="n">
        <v>18</v>
      </c>
      <c r="H7" s="5" t="n">
        <v>16</v>
      </c>
      <c r="I7" s="17" t="inlineStr">
        <is>
          <t>Growing with volatility, then saturates</t>
        </is>
      </c>
    </row>
    <row r="8">
      <c r="A8" s="16" t="inlineStr">
        <is>
          <t>aFRR Capacity</t>
        </is>
      </c>
      <c r="B8" s="4" t="n">
        <v>25</v>
      </c>
      <c r="C8" s="4" t="n">
        <v>30</v>
      </c>
      <c r="D8" s="5" t="n">
        <v>35</v>
      </c>
      <c r="E8" s="5" t="n">
        <v>32</v>
      </c>
      <c r="F8" s="5" t="n">
        <v>28</v>
      </c>
      <c r="G8" s="5" t="n">
        <v>25</v>
      </c>
      <c r="H8" s="5" t="n">
        <v>22</v>
      </c>
      <c r="I8" s="17" t="inlineStr">
        <is>
          <t>Strong near-term; competition increases</t>
        </is>
      </c>
    </row>
    <row r="9">
      <c r="A9" s="16" t="inlineStr">
        <is>
          <t>aFRR Energy</t>
        </is>
      </c>
      <c r="B9" s="4" t="n">
        <v>8</v>
      </c>
      <c r="C9" s="4" t="n">
        <v>10</v>
      </c>
      <c r="D9" s="5" t="n">
        <v>12</v>
      </c>
      <c r="E9" s="5" t="n">
        <v>11</v>
      </c>
      <c r="F9" s="5" t="n">
        <v>10</v>
      </c>
      <c r="G9" s="5" t="n">
        <v>9</v>
      </c>
      <c r="H9" s="5" t="n">
        <v>8</v>
      </c>
      <c r="I9" s="17" t="inlineStr">
        <is>
          <t>Linked to activation frequency</t>
        </is>
      </c>
    </row>
    <row r="10">
      <c r="A10" s="16" t="inlineStr">
        <is>
          <t>mFRR / Balancing</t>
        </is>
      </c>
      <c r="B10" s="4" t="n">
        <v>5</v>
      </c>
      <c r="C10" s="4" t="n">
        <v>8</v>
      </c>
      <c r="D10" s="5" t="n">
        <v>10</v>
      </c>
      <c r="E10" s="5" t="n">
        <v>10</v>
      </c>
      <c r="F10" s="5" t="n">
        <v>9</v>
      </c>
      <c r="G10" s="5" t="n">
        <v>8</v>
      </c>
      <c r="H10" s="5" t="n">
        <v>7</v>
      </c>
      <c r="I10" s="17" t="inlineStr">
        <is>
          <t>Baltic market integration helps</t>
        </is>
      </c>
    </row>
    <row r="11">
      <c r="A11" s="16" t="inlineStr">
        <is>
          <t>Imbalance Optimization</t>
        </is>
      </c>
      <c r="B11" s="4" t="n">
        <v>10</v>
      </c>
      <c r="C11" s="4" t="n">
        <v>12</v>
      </c>
      <c r="D11" s="5" t="n">
        <v>15</v>
      </c>
      <c r="E11" s="5" t="n">
        <v>14</v>
      </c>
      <c r="F11" s="5" t="n">
        <v>12</v>
      </c>
      <c r="G11" s="5" t="n">
        <v>10</v>
      </c>
      <c r="H11" s="5" t="n">
        <v>8</v>
      </c>
      <c r="I11" s="17" t="inlineStr">
        <is>
          <t>15-min ISP beneficial for BESS</t>
        </is>
      </c>
    </row>
    <row r="12">
      <c r="A12" s="18" t="inlineStr">
        <is>
          <t>TOTAL</t>
        </is>
      </c>
      <c r="B12" s="19" t="n">
        <v>98</v>
      </c>
      <c r="C12" s="19" t="n">
        <v>108</v>
      </c>
      <c r="D12" s="20" t="n">
        <v>120</v>
      </c>
      <c r="E12" s="20" t="n">
        <v>114</v>
      </c>
      <c r="F12" s="20" t="n">
        <v>101</v>
      </c>
      <c r="G12" s="20" t="n">
        <v>90</v>
      </c>
      <c r="H12" s="20" t="n">
        <v>79</v>
      </c>
      <c r="I12" s="21" t="inlineStr"/>
    </row>
    <row r="15">
      <c r="A15" s="6" t="inlineStr">
        <is>
          <t>Market Saturation Indicators</t>
        </is>
      </c>
    </row>
    <row r="16">
      <c r="A16" s="3" t="inlineStr">
        <is>
          <t>Metric</t>
        </is>
      </c>
      <c r="B16" s="3" t="inlineStr">
        <is>
          <t>2024</t>
        </is>
      </c>
      <c r="C16" s="3" t="inlineStr">
        <is>
          <t>2025</t>
        </is>
      </c>
      <c r="D16" s="3" t="inlineStr">
        <is>
          <t>2026E</t>
        </is>
      </c>
      <c r="E16" s="3" t="inlineStr">
        <is>
          <t>2027E</t>
        </is>
      </c>
      <c r="F16" s="3" t="inlineStr">
        <is>
          <t>2028E</t>
        </is>
      </c>
      <c r="G16" s="3" t="inlineStr">
        <is>
          <t>2029E</t>
        </is>
      </c>
      <c r="H16" s="3" t="inlineStr">
        <is>
          <t>2030E</t>
        </is>
      </c>
    </row>
    <row r="17">
      <c r="A17" s="16" t="inlineStr">
        <is>
          <t>BESS Installed (MW)</t>
        </is>
      </c>
      <c r="B17" s="4" t="n">
        <v>250</v>
      </c>
      <c r="C17" s="4" t="n">
        <v>535</v>
      </c>
      <c r="D17" s="5" t="n">
        <v>800</v>
      </c>
      <c r="E17" s="5" t="n">
        <v>1200</v>
      </c>
      <c r="F17" s="5" t="n">
        <v>1500</v>
      </c>
      <c r="G17" s="5" t="n">
        <v>1700</v>
      </c>
      <c r="H17" s="5" t="n">
        <v>1800</v>
      </c>
    </row>
    <row r="18">
      <c r="A18" s="16" t="inlineStr">
        <is>
          <t>BESS / Peak Demand (%)</t>
        </is>
      </c>
      <c r="B18" s="4" t="n">
        <v>12</v>
      </c>
      <c r="C18" s="4" t="n">
        <v>25</v>
      </c>
      <c r="D18" s="5" t="n">
        <v>36</v>
      </c>
      <c r="E18" s="5" t="n">
        <v>52</v>
      </c>
      <c r="F18" s="5" t="n">
        <v>63</v>
      </c>
      <c r="G18" s="5" t="n">
        <v>67</v>
      </c>
      <c r="H18" s="5" t="n">
        <v>67</v>
      </c>
    </row>
    <row r="19">
      <c r="A19" s="16" t="inlineStr">
        <is>
          <t>BESS / Avg Load (%)</t>
        </is>
      </c>
      <c r="B19" s="4" t="n">
        <v>17</v>
      </c>
      <c r="C19" s="4" t="n">
        <v>35</v>
      </c>
      <c r="D19" s="5" t="n">
        <v>49</v>
      </c>
      <c r="E19" s="5" t="n">
        <v>70</v>
      </c>
      <c r="F19" s="5" t="n">
        <v>82</v>
      </c>
      <c r="G19" s="5" t="n">
        <v>88</v>
      </c>
      <c r="H19" s="5" t="n">
        <v>88</v>
      </c>
    </row>
    <row r="20">
      <c r="A20" s="16" t="inlineStr">
        <is>
          <t>BESS / RES Capacity (%)</t>
        </is>
      </c>
      <c r="B20" s="4" t="n">
        <v>7</v>
      </c>
      <c r="C20" s="4" t="n">
        <v>12</v>
      </c>
      <c r="D20" s="5" t="n">
        <v>15</v>
      </c>
      <c r="E20" s="5" t="n">
        <v>18</v>
      </c>
      <c r="F20" s="5" t="n">
        <v>19</v>
      </c>
      <c r="G20" s="5" t="n">
        <v>20</v>
      </c>
      <c r="H20" s="5" t="n">
        <v>19</v>
      </c>
    </row>
    <row r="21">
      <c r="A21" s="16" t="inlineStr">
        <is>
          <t>aFRR Market Size (MW)</t>
        </is>
      </c>
      <c r="B21" s="4" t="n">
        <v>120</v>
      </c>
      <c r="C21" s="4" t="n">
        <v>160</v>
      </c>
      <c r="D21" s="5" t="n">
        <v>200</v>
      </c>
      <c r="E21" s="5" t="n">
        <v>220</v>
      </c>
      <c r="F21" s="5" t="n">
        <v>240</v>
      </c>
      <c r="G21" s="5" t="n">
        <v>240</v>
      </c>
      <c r="H21" s="5" t="n">
        <v>240</v>
      </c>
    </row>
    <row r="22">
      <c r="A22" s="16" t="inlineStr">
        <is>
          <t>BESS as % of aFRR Market</t>
        </is>
      </c>
      <c r="B22" s="4" t="n">
        <v>42</v>
      </c>
      <c r="C22" s="4" t="n">
        <v>67</v>
      </c>
      <c r="D22" s="5" t="n">
        <v>80</v>
      </c>
      <c r="E22" s="5" t="n">
        <v>109</v>
      </c>
      <c r="F22" s="5" t="n">
        <v>125</v>
      </c>
      <c r="G22" s="5" t="n">
        <v>142</v>
      </c>
      <c r="H22" s="5" t="n">
        <v>150</v>
      </c>
    </row>
    <row r="23">
      <c r="A23" s="16" t="inlineStr">
        <is>
          <t>Revenue Cannibalization (%)</t>
        </is>
      </c>
      <c r="B23" s="4" t="n">
        <v>0</v>
      </c>
      <c r="C23" s="4" t="n">
        <v>5</v>
      </c>
      <c r="D23" s="5" t="n">
        <v>10</v>
      </c>
      <c r="E23" s="5" t="n">
        <v>18</v>
      </c>
      <c r="F23" s="5" t="n">
        <v>25</v>
      </c>
      <c r="G23" s="5" t="n">
        <v>30</v>
      </c>
      <c r="H23" s="5" t="n">
        <v>35</v>
      </c>
    </row>
    <row r="24">
      <c r="A24" s="16" t="inlineStr">
        <is>
          <t>DA Price Spread (EUR/MWh)</t>
        </is>
      </c>
      <c r="B24" s="4" t="n">
        <v>55</v>
      </c>
      <c r="C24" s="4" t="n">
        <v>50</v>
      </c>
      <c r="D24" s="5" t="n">
        <v>48</v>
      </c>
      <c r="E24" s="5" t="n">
        <v>42</v>
      </c>
      <c r="F24" s="5" t="n">
        <v>38</v>
      </c>
      <c r="G24" s="5" t="n">
        <v>35</v>
      </c>
      <c r="H24" s="5" t="n">
        <v>32</v>
      </c>
    </row>
    <row r="25">
      <c r="A25" s="16" t="inlineStr">
        <is>
          <t>Saturation Signal</t>
        </is>
      </c>
      <c r="B25" s="4" t="inlineStr">
        <is>
          <t>Low</t>
        </is>
      </c>
      <c r="C25" s="4" t="inlineStr">
        <is>
          <t>Low-Med</t>
        </is>
      </c>
      <c r="D25" s="5" t="inlineStr">
        <is>
          <t>Medium</t>
        </is>
      </c>
      <c r="E25" s="5" t="inlineStr">
        <is>
          <t>Med-High</t>
        </is>
      </c>
      <c r="F25" s="5" t="inlineStr">
        <is>
          <t>High</t>
        </is>
      </c>
      <c r="G25" s="5" t="inlineStr">
        <is>
          <t>High</t>
        </is>
      </c>
      <c r="H25" s="5" t="inlineStr">
        <is>
          <t>Saturated</t>
        </is>
      </c>
    </row>
    <row r="27">
      <c r="A27" s="6" t="inlineStr">
        <is>
          <t>BESS Market Saturation Assessment</t>
        </is>
      </c>
    </row>
    <row r="28">
      <c r="A28" s="22" t="inlineStr">
        <is>
          <t>WINDOW OF OPPORTUNITY: 2025-2027 is the golden window for Lithuanian BESS investment</t>
        </is>
      </c>
    </row>
    <row r="29">
      <c r="A29" s="15" t="inlineStr"/>
    </row>
    <row r="30">
      <c r="A30" s="23" t="inlineStr">
        <is>
          <t>BULL CASE (Favorable for BESS):</t>
        </is>
      </c>
    </row>
    <row r="31">
      <c r="A31" s="15" t="inlineStr">
        <is>
          <t xml:space="preserve">  • Russia grid disconnection increases price volatility &amp; need for flexibility</t>
        </is>
      </c>
    </row>
    <row r="32">
      <c r="A32" s="15" t="inlineStr">
        <is>
          <t xml:space="preserve">  • Load growth 4%/yr (data centers, EVs, heat pumps) expands addressable market</t>
        </is>
      </c>
    </row>
    <row r="33">
      <c r="A33" s="15" t="inlineStr">
        <is>
          <t xml:space="preserve">  • 0.7 GW offshore wind by 2030 creates large balancing need</t>
        </is>
      </c>
    </row>
    <row r="34">
      <c r="A34" s="15" t="inlineStr">
        <is>
          <t xml:space="preserve">  • PICASSO integration opens cross-border aFRR revenue</t>
        </is>
      </c>
    </row>
    <row r="35">
      <c r="A35" s="15" t="inlineStr">
        <is>
          <t xml:space="preserve">  • Government allocated €197mn+ in BESS support (largest EU procurement)</t>
        </is>
      </c>
    </row>
    <row r="36">
      <c r="A36" s="15" t="inlineStr"/>
    </row>
    <row r="37">
      <c r="A37" s="23" t="inlineStr">
        <is>
          <t>BEAR CASE (Risk of saturation):</t>
        </is>
      </c>
    </row>
    <row r="38">
      <c r="A38" s="15" t="inlineStr">
        <is>
          <t xml:space="preserve">  • 1.7 GW / 4 GWh government pipeline → BESS/Peak ratio hits 67% by 2029</t>
        </is>
      </c>
    </row>
    <row r="39">
      <c r="A39" s="15" t="inlineStr">
        <is>
          <t xml:space="preserve">  • aFRR market relatively small (~120 MW each direction) vs BESS pipeline</t>
        </is>
      </c>
    </row>
    <row r="40">
      <c r="A40" s="15" t="inlineStr">
        <is>
          <t xml:space="preserve">  • BESS will exceed total aFRR market size by 2027 → not all can earn capacity revenue</t>
        </is>
      </c>
    </row>
    <row r="41">
      <c r="A41" s="15" t="inlineStr">
        <is>
          <t xml:space="preserve">  • Revenue cannibalization estimated at 25-35% by 2028-2030</t>
        </is>
      </c>
    </row>
    <row r="42">
      <c r="A42" s="15" t="inlineStr">
        <is>
          <t xml:space="preserve">  • Lithuania is a small market (~13-18 TWh) — limited absolute opportunity</t>
        </is>
      </c>
    </row>
    <row r="43">
      <c r="A43" s="15" t="inlineStr"/>
    </row>
    <row r="44">
      <c r="A44" s="22" t="inlineStr">
        <is>
          <t>RECOMMENDATION:</t>
        </is>
      </c>
    </row>
    <row r="45">
      <c r="A45" s="15" t="inlineStr">
        <is>
          <t xml:space="preserve">  • Early-mover advantage is CRITICAL — projects operational by 2026-2027 capture peak revenues</t>
        </is>
      </c>
    </row>
    <row r="46">
      <c r="A46" s="15" t="inlineStr">
        <is>
          <t xml:space="preserve">  • Target multi-revenue stacking: aFRR + DA arb + ID trading + imbalance</t>
        </is>
      </c>
    </row>
    <row r="47">
      <c r="A47" s="15" t="inlineStr">
        <is>
          <t xml:space="preserve">  • Consider 2h+ duration to capture wider DA spreads</t>
        </is>
      </c>
    </row>
    <row r="48">
      <c r="A48" s="15" t="inlineStr">
        <is>
          <t xml:space="preserve">  • Cross-border revenue (via PICASSO, NordBalt, LitPol Link) is essential for long-term value</t>
        </is>
      </c>
    </row>
    <row r="49">
      <c r="A49" s="15" t="inlineStr">
        <is>
          <t xml:space="preserve">  • After 2028, expect revenue compression of 20-35% from baseline due to saturation</t>
        </is>
      </c>
    </row>
    <row r="50">
      <c r="A50" s="15" t="inlineStr">
        <is>
          <t xml:space="preserve">  • Monitor actual BESS build-out pace — delays in pipeline could extend opportunity window</t>
        </is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10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Lithuania Electricity Market — Key Developments for BESS Developers</t>
        </is>
      </c>
    </row>
    <row r="2">
      <c r="A2" s="2" t="inlineStr">
        <is>
          <t>Compiled February 2026 | Birdview Energy</t>
        </is>
      </c>
    </row>
    <row r="4">
      <c r="A4" s="6" t="inlineStr">
        <is>
          <t>1. GRID DISCONNECTION FROM RUSSIA (Completed Feb 2025)</t>
        </is>
      </c>
    </row>
    <row r="5">
      <c r="A5" s="15" t="inlineStr">
        <is>
          <t xml:space="preserve">  • 8 Feb 2025: Baltic states disconnected from Russian BRELL grid system</t>
        </is>
      </c>
    </row>
    <row r="6">
      <c r="A6" s="15" t="inlineStr">
        <is>
          <t xml:space="preserve">  • 9 Feb 2025: Synchronized with Continental European grid via LitPol Link (AC mode)</t>
        </is>
      </c>
    </row>
    <row r="7">
      <c r="A7" s="15" t="inlineStr">
        <is>
          <t xml:space="preserve">  • Ended 50+ years of Soviet/Russian grid dependency</t>
        </is>
      </c>
    </row>
    <row r="8">
      <c r="A8" s="15" t="inlineStr">
        <is>
          <t xml:space="preserve">  • Price spike to €325/MWh on disconnection day, €128/MWh daily average</t>
        </is>
      </c>
    </row>
    <row r="9">
      <c r="A9" s="15" t="inlineStr">
        <is>
          <t xml:space="preserve">  • Successful 24-hour isolated island mode test before EU sync</t>
        </is>
      </c>
    </row>
    <row r="10">
      <c r="A10" s="15" t="inlineStr">
        <is>
          <t xml:space="preserve">  • Increases need for domestic flexibility → bullish for BESS</t>
        </is>
      </c>
    </row>
    <row r="12">
      <c r="A12" s="6" t="inlineStr">
        <is>
          <t>2. MASSIVE BESS PROCUREMENT PROGRAM</t>
        </is>
      </c>
    </row>
    <row r="13">
      <c r="A13" s="15" t="inlineStr">
        <is>
          <t xml:space="preserve">  • Government launched 1.7 GW / 4 GWh BESS procurement — largest in EU</t>
        </is>
      </c>
    </row>
    <row r="14">
      <c r="A14" s="15" t="inlineStr">
        <is>
          <t xml:space="preserve">  • Over 50 applications received totaling €197mn — nearly 2x the original budget</t>
        </is>
      </c>
    </row>
    <row r="15">
      <c r="A15" s="15" t="inlineStr">
        <is>
          <t xml:space="preserve">  • Additional €45mn allocated (Oct 2025) to support more projects</t>
        </is>
      </c>
    </row>
    <row r="16">
      <c r="A16" s="15" t="inlineStr">
        <is>
          <t xml:space="preserve">  • Target: ≥800 MWh connected to TSO grid by end 2028</t>
        </is>
      </c>
    </row>
    <row r="17">
      <c r="A17" s="15" t="inlineStr">
        <is>
          <t xml:space="preserve">  • Key projects: Ignitis 291MW/582MWh (2027), Trina 90MW/180MWh (mid-2026)</t>
        </is>
      </c>
    </row>
    <row r="18">
      <c r="A18" s="15" t="inlineStr">
        <is>
          <t xml:space="preserve">  • Litgrid already operates 200MW/200MWh (Fluence/Siemens Energy, since 2022)</t>
        </is>
      </c>
    </row>
    <row r="20">
      <c r="A20" s="6" t="inlineStr">
        <is>
          <t>3. RENEWABLE ENERGY EXPLOSION</t>
        </is>
      </c>
    </row>
    <row r="21">
      <c r="A21" s="15" t="inlineStr">
        <is>
          <t xml:space="preserve">  • 2025: record 1.7 GW of wind + solar added in single year</t>
        </is>
      </c>
    </row>
    <row r="22">
      <c r="A22" s="15" t="inlineStr">
        <is>
          <t xml:space="preserve">  • Total wind+solar reached 3 GW by end 2025 (Litgrid confirmed)</t>
        </is>
      </c>
    </row>
    <row r="23">
      <c r="A23" s="15" t="inlineStr">
        <is>
          <t xml:space="preserve">  • Solar: from 250 MW (2021) → 2,800 MW (2025) — 11x growth in 4 years</t>
        </is>
      </c>
    </row>
    <row r="24">
      <c r="A24" s="15" t="inlineStr">
        <is>
          <t xml:space="preserve">  • Wind: from 671 MW (2021) → 1,500 MW (2025) — doubled</t>
        </is>
      </c>
    </row>
    <row r="25">
      <c r="A25" s="15" t="inlineStr">
        <is>
          <t xml:space="preserve">  • 2030 NECP targets: 5.1 GW solar, ~4 GW wind (incl. 0.7 GW offshore)</t>
        </is>
      </c>
    </row>
    <row r="26">
      <c r="A26" s="15" t="inlineStr">
        <is>
          <t xml:space="preserve">  • Renewables now cover ~70% of domestic electricity demand</t>
        </is>
      </c>
    </row>
    <row r="28">
      <c r="A28" s="6" t="inlineStr">
        <is>
          <t>4. aFRR &amp; BALANCING MARKET EVOLUTION</t>
        </is>
      </c>
    </row>
    <row r="29">
      <c r="A29" s="15" t="inlineStr">
        <is>
          <t xml:space="preserve">  • Mar 2025: Litgrid joined PICASSO — pan-European aFRR platform</t>
        </is>
      </c>
    </row>
    <row r="30">
      <c r="A30" s="15" t="inlineStr">
        <is>
          <t xml:space="preserve">  • aFRR requirement growing: up to 96-120 MW each direction by 2026</t>
        </is>
      </c>
    </row>
    <row r="31">
      <c r="A31" s="15" t="inlineStr">
        <is>
          <t xml:space="preserve">  • 15-minute imbalance settlement period introduced (was 60 min)</t>
        </is>
      </c>
    </row>
    <row r="32">
      <c r="A32" s="15" t="inlineStr">
        <is>
          <t xml:space="preserve">  • Ancillary service costs surged 5.5x in 2024 (to 1.31 ct/kWh)</t>
        </is>
      </c>
    </row>
    <row r="33">
      <c r="A33" s="15" t="inlineStr">
        <is>
          <t xml:space="preserve">  • BESS ideally suited for fast-response aFRR — replacing demand reduction resources</t>
        </is>
      </c>
    </row>
    <row r="34">
      <c r="A34" s="15" t="inlineStr">
        <is>
          <t xml:space="preserve">  • Baltic demand reduction reserve reduced balancing costs 8x (Feb-Sep 2025)</t>
        </is>
      </c>
    </row>
    <row r="36">
      <c r="A36" s="6" t="inlineStr">
        <is>
          <t>5. INTERCONNECTIONS &amp; MARKET COUPLING</t>
        </is>
      </c>
    </row>
    <row r="37">
      <c r="A37" s="15" t="inlineStr">
        <is>
          <t xml:space="preserve">  • NordBalt: 700 MW HVDC to Sweden (operational since 2015)</t>
        </is>
      </c>
    </row>
    <row r="38">
      <c r="A38" s="15" t="inlineStr">
        <is>
          <t xml:space="preserve">  • LitPol Link: 500 MW to Poland (now in AC mode after sync)</t>
        </is>
      </c>
    </row>
    <row r="39">
      <c r="A39" s="15" t="inlineStr">
        <is>
          <t xml:space="preserve">  • Harmony Link: planned 700 MW HVDC to Poland (under development)</t>
        </is>
      </c>
    </row>
    <row r="40">
      <c r="A40" s="15" t="inlineStr">
        <is>
          <t xml:space="preserve">  • Future: 2 GW offshore interconnection Lithuania-Latvia-Germany (post-2035)</t>
        </is>
      </c>
    </row>
    <row r="41">
      <c r="A41" s="15" t="inlineStr">
        <is>
          <t xml:space="preserve">  • Strong interconnections keep Lithuania coupled to Nordic + CE prices</t>
        </is>
      </c>
    </row>
    <row r="42">
      <c r="A42" s="15" t="inlineStr">
        <is>
          <t xml:space="preserve">  • But transmission constraints can cause price divergence → BESS opportunity</t>
        </is>
      </c>
    </row>
    <row r="44">
      <c r="A44" s="6" t="inlineStr">
        <is>
          <t>6. ELECTRICITY DEMAND OUTLOOK</t>
        </is>
      </c>
    </row>
    <row r="45">
      <c r="A45" s="15" t="inlineStr">
        <is>
          <t xml:space="preserve">  • Current: ~13-14 TWh/year, ~2.1 GW peak demand</t>
        </is>
      </c>
    </row>
    <row r="46">
      <c r="A46" s="15" t="inlineStr">
        <is>
          <t xml:space="preserve">  • Litgrid 10-year plan: demand grows 4%/yr → 18.7 TWh by 2031</t>
        </is>
      </c>
    </row>
    <row r="47">
      <c r="A47" s="15" t="inlineStr">
        <is>
          <t xml:space="preserve">  • Key drivers: data centers, electric vehicles, industrial heat pumps</t>
        </is>
      </c>
    </row>
    <row r="48">
      <c r="A48" s="15" t="inlineStr">
        <is>
          <t xml:space="preserve">  • Lithuania targets net electricity exporter by 2028-2030</t>
        </is>
      </c>
    </row>
    <row r="49">
      <c r="A49" s="15" t="inlineStr">
        <is>
          <t xml:space="preserve">  • Import share dropped from 70% (2021) to ~33% (2025)</t>
        </is>
      </c>
    </row>
    <row r="50">
      <c r="A50" s="15" t="inlineStr">
        <is>
          <t xml:space="preserve">  • Domestic generation doubled from 4.2 TWh (2021) to ~9 TWh (2025)</t>
        </is>
      </c>
    </row>
    <row r="52">
      <c r="A52" s="6" t="inlineStr">
        <is>
          <t>7. REGULATORY &amp; POLICY LANDSCAPE</t>
        </is>
      </c>
    </row>
    <row r="53">
      <c r="A53" s="15" t="inlineStr">
        <is>
          <t xml:space="preserve">  • Strong government support for BESS — €197mn+ allocated</t>
        </is>
      </c>
    </row>
    <row r="54">
      <c r="A54" s="15" t="inlineStr">
        <is>
          <t xml:space="preserve">  • EU ETS2 introduction in 2027 expected to push energy prices up</t>
        </is>
      </c>
    </row>
    <row r="55">
      <c r="A55" s="15" t="inlineStr">
        <is>
          <t xml:space="preserve">  • Lithuania 100% renewable electricity target by 2030</t>
        </is>
      </c>
    </row>
    <row r="56">
      <c r="A56" s="15" t="inlineStr">
        <is>
          <t xml:space="preserve">  • NECP: 5.1 GW solar, ~4 GW wind, 1.7 GW storage by 2030</t>
        </is>
      </c>
    </row>
    <row r="57">
      <c r="A57" s="15" t="inlineStr">
        <is>
          <t xml:space="preserve">  • Active support for hydrogen (electrolysis) — potential future BESS competitor</t>
        </is>
      </c>
    </row>
    <row r="58">
      <c r="A58" s="15" t="inlineStr">
        <is>
          <t xml:space="preserve">  • Energy independence is national security priority post-Ukraine war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9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ENTSO-E API &amp; Data Retrieval Guide for Lithuania</t>
        </is>
      </c>
    </row>
    <row r="2">
      <c r="A2" s="2" t="inlineStr">
        <is>
          <t>How to retrieve live price data programmatically</t>
        </is>
      </c>
    </row>
    <row r="4">
      <c r="A4" s="6" t="inlineStr">
        <is>
          <t>ENTSO-E Transparency Platform API</t>
        </is>
      </c>
    </row>
    <row r="5">
      <c r="A5" s="15" t="inlineStr">
        <is>
          <t>Register at: https://transparency.entsoe.eu/</t>
        </is>
      </c>
    </row>
    <row r="6">
      <c r="A6" s="15" t="inlineStr">
        <is>
          <t>Request API key: email transparency@entsoe.eu with subject 'Restful API access'</t>
        </is>
      </c>
    </row>
    <row r="7">
      <c r="A7" s="15" t="inlineStr">
        <is>
          <t>Lithuania bidding zone code: 10YLT-1001A0008Q</t>
        </is>
      </c>
    </row>
    <row r="8">
      <c r="A8" s="15" t="inlineStr">
        <is>
          <t>Country code for entsoe-py: 'LT'</t>
        </is>
      </c>
    </row>
    <row r="9">
      <c r="A9" s="15" t="inlineStr"/>
    </row>
    <row r="10">
      <c r="A10" s="15" t="inlineStr">
        <is>
          <t>Python example (entsoe-py library):</t>
        </is>
      </c>
    </row>
    <row r="11">
      <c r="A11" s="15" t="inlineStr">
        <is>
          <t xml:space="preserve">  pip install entsoe-py</t>
        </is>
      </c>
    </row>
    <row r="12">
      <c r="A12" s="15" t="inlineStr">
        <is>
          <t xml:space="preserve">  from entsoe import EntsoePandasClient</t>
        </is>
      </c>
    </row>
    <row r="13">
      <c r="A13" s="15" t="inlineStr">
        <is>
          <t xml:space="preserve">  import pandas as pd</t>
        </is>
      </c>
    </row>
    <row r="14">
      <c r="A14" s="15" t="inlineStr">
        <is>
          <t xml:space="preserve">  client = EntsoePandasClient(api_key='YOUR_KEY')</t>
        </is>
      </c>
    </row>
    <row r="15">
      <c r="A15" s="15" t="inlineStr">
        <is>
          <t xml:space="preserve">  start = pd.Timestamp('20240101', tz='Europe/Vilnius')</t>
        </is>
      </c>
    </row>
    <row r="16">
      <c r="A16" s="15" t="inlineStr">
        <is>
          <t xml:space="preserve">  end = pd.Timestamp('20250101', tz='Europe/Vilnius')</t>
        </is>
      </c>
    </row>
    <row r="17">
      <c r="A17" s="15" t="inlineStr">
        <is>
          <t xml:space="preserve">  # Day-ahead prices</t>
        </is>
      </c>
    </row>
    <row r="18">
      <c r="A18" s="15" t="inlineStr">
        <is>
          <t xml:space="preserve">  da = client.query_day_ahead_prices('LT', start=start, end=end)</t>
        </is>
      </c>
    </row>
    <row r="19">
      <c r="A19" s="15" t="inlineStr">
        <is>
          <t xml:space="preserve">  # Imbalance prices</t>
        </is>
      </c>
    </row>
    <row r="20">
      <c r="A20" s="15" t="inlineStr">
        <is>
          <t xml:space="preserve">  imb = client.query_imbalance_prices('LT', start=start, end=end)</t>
        </is>
      </c>
    </row>
    <row r="21">
      <c r="A21" s="15" t="inlineStr">
        <is>
          <t xml:space="preserve">  # Cross-border flows</t>
        </is>
      </c>
    </row>
    <row r="22">
      <c r="A22" s="15" t="inlineStr">
        <is>
          <t xml:space="preserve">  flows = client.query_crossborder_flows('LT', 'SE_4', start=start, end=end)</t>
        </is>
      </c>
    </row>
    <row r="24">
      <c r="A24" s="6" t="inlineStr">
        <is>
          <t>Nord Pool Data Portal</t>
        </is>
      </c>
    </row>
    <row r="25">
      <c r="A25" s="15" t="inlineStr">
        <is>
          <t>URL: https://data.nordpoolgroup.com/</t>
        </is>
      </c>
    </row>
    <row r="26">
      <c r="A26" s="15" t="inlineStr">
        <is>
          <t>Lithuania data available from day-ahead and intra-day markets</t>
        </is>
      </c>
    </row>
    <row r="27">
      <c r="A27" s="15" t="inlineStr">
        <is>
          <t>Free registration required for bulk downloads</t>
        </is>
      </c>
    </row>
    <row r="28">
      <c r="A28" s="15" t="inlineStr">
        <is>
          <t>Also available via: https://nordpool.opendailydata.com/en (open data)</t>
        </is>
      </c>
    </row>
    <row r="30">
      <c r="A30" s="6" t="inlineStr">
        <is>
          <t>Litgrid Dashboard</t>
        </is>
      </c>
    </row>
    <row r="31">
      <c r="A31" s="15" t="inlineStr">
        <is>
          <t>URL: https://www.litgrid.eu/index.php/dashboard/gas-and-electricity-prices/31769</t>
        </is>
      </c>
    </row>
    <row r="32">
      <c r="A32" s="15" t="inlineStr">
        <is>
          <t>Real-time and historical electricity prices, flows, generation</t>
        </is>
      </c>
    </row>
    <row r="33">
      <c r="A33" s="15" t="inlineStr">
        <is>
          <t>Balancing market data and ancillary services costs</t>
        </is>
      </c>
    </row>
    <row r="35">
      <c r="A35" s="6" t="inlineStr">
        <is>
          <t>Additional Data Sources</t>
        </is>
      </c>
    </row>
    <row r="36">
      <c r="A36" s="15" t="inlineStr">
        <is>
          <t>EnergyInEU (monthly averages): https://energyineu.com/lithuania.php</t>
        </is>
      </c>
    </row>
    <row r="37">
      <c r="A37" s="15" t="inlineStr">
        <is>
          <t>Ember (EU price analysis): https://ember-energy.org/data/european-electricity-prices-and-costs/</t>
        </is>
      </c>
    </row>
    <row r="38">
      <c r="A38" s="15" t="inlineStr">
        <is>
          <t>Eurostat (official statistics): https://ec.europa.eu/eurostat/</t>
        </is>
      </c>
    </row>
    <row r="39">
      <c r="A39" s="15" t="inlineStr">
        <is>
          <t>CEER (regulatory reports): https://www.ceer.eu/</t>
        </is>
      </c>
    </row>
    <row r="40">
      <c r="A40" s="15" t="inlineStr">
        <is>
          <t>IEA Lithuania Review: https://iea.blob.core.windows.net/assets/.../Lithuania2025.pdf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2026-02-12T09:07:26Z</dcterms:created>
  <dcterms:modified xsi:type="dcterms:W3CDTF">2026-02-12T10:47:21Z</dcterms:modified>
</cp:coreProperties>
</file>